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F402E45A-C074-45D2-B3B6-8E1B6EDCFF61}" xr6:coauthVersionLast="47" xr6:coauthVersionMax="47" xr10:uidLastSave="{00000000-0000-0000-0000-000000000000}"/>
  <bookViews>
    <workbookView xWindow="-108" yWindow="-108" windowWidth="23256" windowHeight="12456" tabRatio="837" activeTab="10" xr2:uid="{00000000-000D-0000-FFFF-FFFF00000000}"/>
  </bookViews>
  <sheets>
    <sheet name="bs" sheetId="1" r:id="rId1"/>
    <sheet name="p&amp;l" sheetId="2" r:id="rId2"/>
    <sheet name="notes to accounts" sheetId="13" r:id="rId3"/>
    <sheet name="capital" sheetId="3" r:id="rId4"/>
    <sheet name="notes to bs" sheetId="6" r:id="rId5"/>
    <sheet name="notes to p&amp;l" sheetId="8" r:id="rId6"/>
    <sheet name="PPE" sheetId="9" state="hidden" r:id="rId7"/>
    <sheet name="Fixed Assets C. Yr." sheetId="21" r:id="rId8"/>
    <sheet name="Fixed Assets P. Yr." sheetId="16" r:id="rId9"/>
    <sheet name="Details" sheetId="14" r:id="rId10"/>
    <sheet name="GROSS PROFIT" sheetId="20" r:id="rId11"/>
    <sheet name="FA2022" sheetId="17" state="hidden" r:id="rId12"/>
  </sheets>
  <externalReferences>
    <externalReference r:id="rId13"/>
  </externalReferences>
  <definedNames>
    <definedName name="_xlnm.Print_Area" localSheetId="0">bs!$A$1:$F$41</definedName>
    <definedName name="_xlnm.Print_Area" localSheetId="3">capital!$A$1:$G$37</definedName>
    <definedName name="_xlnm.Print_Area" localSheetId="9">Details!$A$1:$E$139</definedName>
    <definedName name="_xlnm.Print_Area" localSheetId="7">'Fixed Assets C. Yr.'!$A$1:$I$74</definedName>
    <definedName name="_xlnm.Print_Area" localSheetId="8">'Fixed Assets P. Yr.'!$A$1:$I$38</definedName>
    <definedName name="_xlnm.Print_Area" localSheetId="10">'GROSS PROFIT'!$A$1:$F$27</definedName>
    <definedName name="_xlnm.Print_Area" localSheetId="2">'notes to accounts'!$A$1:$I$53</definedName>
    <definedName name="_xlnm.Print_Area" localSheetId="4">'notes to bs'!$A$1:$E$162</definedName>
    <definedName name="_xlnm.Print_Area" localSheetId="5">'notes to p&amp;l'!$A$1:$E$87</definedName>
    <definedName name="_xlnm.Print_Area" localSheetId="1">'p&amp;l'!$A$1:$F$27</definedName>
    <definedName name="_xlnm.Print_Area" localSheetId="6">PPE!$A$1:$I$62</definedName>
  </definedNames>
  <calcPr calcId="191029"/>
</workbook>
</file>

<file path=xl/calcChain.xml><?xml version="1.0" encoding="utf-8"?>
<calcChain xmlns="http://schemas.openxmlformats.org/spreadsheetml/2006/main">
  <c r="I68" i="21" l="1"/>
  <c r="E87" i="8"/>
  <c r="D87" i="8"/>
  <c r="D136" i="14"/>
  <c r="E129" i="14"/>
  <c r="D129" i="14"/>
  <c r="D68" i="14"/>
  <c r="E62" i="14"/>
  <c r="D62" i="14"/>
  <c r="E17" i="14"/>
  <c r="D17" i="14"/>
  <c r="E13" i="14"/>
  <c r="D13" i="14"/>
  <c r="D19" i="14" s="1"/>
  <c r="H68" i="21"/>
  <c r="F68" i="21"/>
  <c r="E68" i="21"/>
  <c r="D68" i="21"/>
  <c r="C68" i="21"/>
  <c r="B68" i="21"/>
  <c r="H57" i="21"/>
  <c r="F57" i="21"/>
  <c r="H56" i="21"/>
  <c r="F56" i="21"/>
  <c r="H55" i="21"/>
  <c r="F55" i="21"/>
  <c r="H54" i="21"/>
  <c r="F54" i="21"/>
  <c r="I54" i="21" s="1"/>
  <c r="H53" i="21"/>
  <c r="F53" i="21"/>
  <c r="H47" i="21"/>
  <c r="H50" i="21"/>
  <c r="F50" i="21"/>
  <c r="H49" i="21"/>
  <c r="F49" i="21"/>
  <c r="H48" i="21"/>
  <c r="F48" i="21"/>
  <c r="I48" i="21" s="1"/>
  <c r="F47" i="21"/>
  <c r="H44" i="21"/>
  <c r="F44" i="21"/>
  <c r="H43" i="21"/>
  <c r="F43" i="21"/>
  <c r="I43" i="21" s="1"/>
  <c r="H42" i="21"/>
  <c r="F42" i="21"/>
  <c r="I42" i="21" s="1"/>
  <c r="H41" i="21"/>
  <c r="F41" i="21"/>
  <c r="H40" i="21"/>
  <c r="F40" i="21"/>
  <c r="I40" i="21" s="1"/>
  <c r="H39" i="21"/>
  <c r="F39" i="21"/>
  <c r="H38" i="21"/>
  <c r="F38" i="21"/>
  <c r="H37" i="21"/>
  <c r="F37" i="21"/>
  <c r="H33" i="21"/>
  <c r="F33" i="21"/>
  <c r="I33" i="21" s="1"/>
  <c r="H32" i="21"/>
  <c r="F32" i="21"/>
  <c r="H31" i="21"/>
  <c r="F31" i="21"/>
  <c r="H30" i="21"/>
  <c r="F30" i="21"/>
  <c r="H29" i="21"/>
  <c r="F29" i="21"/>
  <c r="H28" i="21"/>
  <c r="F28" i="21"/>
  <c r="I28" i="21" s="1"/>
  <c r="H27" i="21"/>
  <c r="F27" i="21"/>
  <c r="I27" i="21" s="1"/>
  <c r="H26" i="21"/>
  <c r="F26" i="21"/>
  <c r="H21" i="21"/>
  <c r="F21" i="21"/>
  <c r="H20" i="21"/>
  <c r="F20" i="21"/>
  <c r="H19" i="21"/>
  <c r="F19" i="21"/>
  <c r="H18" i="21"/>
  <c r="F18" i="21"/>
  <c r="H17" i="21"/>
  <c r="F17" i="21"/>
  <c r="I17" i="21" s="1"/>
  <c r="H16" i="21"/>
  <c r="F16" i="21"/>
  <c r="H15" i="21"/>
  <c r="F15" i="21"/>
  <c r="H14" i="21"/>
  <c r="F14" i="21"/>
  <c r="I14" i="21" s="1"/>
  <c r="F13" i="21"/>
  <c r="D18" i="8"/>
  <c r="D69" i="14" l="1"/>
  <c r="H67" i="21"/>
  <c r="F67" i="21"/>
  <c r="I67" i="21" s="1"/>
  <c r="H66" i="21"/>
  <c r="F66" i="21"/>
  <c r="I66" i="21" s="1"/>
  <c r="H65" i="21"/>
  <c r="F65" i="21"/>
  <c r="I65" i="21" s="1"/>
  <c r="H64" i="21"/>
  <c r="F64" i="21"/>
  <c r="I64" i="21" s="1"/>
  <c r="H63" i="21"/>
  <c r="F63" i="21"/>
  <c r="I63" i="21" s="1"/>
  <c r="H62" i="21"/>
  <c r="F62" i="21"/>
  <c r="I62" i="21" s="1"/>
  <c r="H61" i="21"/>
  <c r="F61" i="21"/>
  <c r="I61" i="21" s="1"/>
  <c r="I47" i="21"/>
  <c r="I38" i="21"/>
  <c r="I53" i="21"/>
  <c r="I30" i="21"/>
  <c r="I32" i="21"/>
  <c r="I20" i="21"/>
  <c r="I19" i="21"/>
  <c r="I16" i="21"/>
  <c r="I37" i="21"/>
  <c r="I50" i="21"/>
  <c r="I31" i="21"/>
  <c r="I26" i="21"/>
  <c r="I15" i="21"/>
  <c r="I18" i="21"/>
  <c r="I56" i="21"/>
  <c r="I41" i="21"/>
  <c r="I55" i="21"/>
  <c r="I49" i="21"/>
  <c r="I44" i="21"/>
  <c r="I39" i="21"/>
  <c r="I29" i="21"/>
  <c r="I21" i="21"/>
  <c r="I57" i="21"/>
  <c r="E10" i="20" l="1"/>
  <c r="D148" i="6" l="1"/>
  <c r="E141" i="6" l="1"/>
  <c r="D141" i="6"/>
  <c r="E10" i="9"/>
  <c r="G11" i="9" l="1"/>
  <c r="G10" i="9"/>
  <c r="G30" i="9"/>
  <c r="G29" i="9"/>
  <c r="G28" i="9"/>
  <c r="H21" i="16"/>
  <c r="F21" i="16"/>
  <c r="I21" i="16" l="1"/>
  <c r="F10" i="9"/>
  <c r="D10" i="9"/>
  <c r="C10" i="9"/>
  <c r="F28" i="9"/>
  <c r="E29" i="9"/>
  <c r="E28" i="9"/>
  <c r="D29" i="9"/>
  <c r="D28" i="9"/>
  <c r="C30" i="9"/>
  <c r="C29" i="9"/>
  <c r="C28" i="9"/>
  <c r="E37" i="16"/>
  <c r="D37" i="16"/>
  <c r="C37" i="16"/>
  <c r="B37" i="16"/>
  <c r="F17" i="16"/>
  <c r="H17" i="16"/>
  <c r="F16" i="16"/>
  <c r="H16" i="16"/>
  <c r="F15" i="16"/>
  <c r="H15" i="16"/>
  <c r="F28" i="16"/>
  <c r="H28" i="16"/>
  <c r="H14" i="16"/>
  <c r="F14" i="16"/>
  <c r="F13" i="16"/>
  <c r="H13" i="16"/>
  <c r="H31" i="16"/>
  <c r="C35" i="9" s="1"/>
  <c r="F31" i="16"/>
  <c r="H12" i="16"/>
  <c r="F12" i="16"/>
  <c r="H9" i="16"/>
  <c r="F9" i="16"/>
  <c r="H11" i="16"/>
  <c r="F11" i="16"/>
  <c r="F27" i="16"/>
  <c r="H27" i="16"/>
  <c r="H20" i="16"/>
  <c r="G35" i="9" s="1"/>
  <c r="H24" i="16"/>
  <c r="F35" i="9" s="1"/>
  <c r="F24" i="16"/>
  <c r="C9" i="20"/>
  <c r="F13" i="20"/>
  <c r="E29" i="8"/>
  <c r="F27" i="1"/>
  <c r="A80" i="6"/>
  <c r="H25" i="21" l="1"/>
  <c r="F25" i="21"/>
  <c r="I24" i="16"/>
  <c r="I16" i="16"/>
  <c r="I17" i="16"/>
  <c r="I31" i="16"/>
  <c r="H60" i="21" s="1"/>
  <c r="C16" i="9" s="1"/>
  <c r="D35" i="9"/>
  <c r="I14" i="16"/>
  <c r="I11" i="16"/>
  <c r="F12" i="21" s="1"/>
  <c r="I28" i="16"/>
  <c r="F16" i="9"/>
  <c r="I12" i="16"/>
  <c r="I13" i="16"/>
  <c r="I15" i="16"/>
  <c r="I9" i="16"/>
  <c r="I27" i="16"/>
  <c r="D80" i="6"/>
  <c r="E80" i="6"/>
  <c r="E85" i="6"/>
  <c r="A153" i="6"/>
  <c r="I25" i="21" l="1"/>
  <c r="F60" i="21"/>
  <c r="I60" i="21" s="1"/>
  <c r="H12" i="21"/>
  <c r="I12" i="21" s="1"/>
  <c r="H36" i="21"/>
  <c r="F36" i="21"/>
  <c r="H13" i="21"/>
  <c r="D85" i="6"/>
  <c r="E27" i="1"/>
  <c r="E65" i="6"/>
  <c r="D10" i="6"/>
  <c r="E10" i="6"/>
  <c r="D16" i="9" l="1"/>
  <c r="I36" i="21"/>
  <c r="I13" i="21"/>
  <c r="A77" i="6"/>
  <c r="E153" i="6"/>
  <c r="D153" i="6"/>
  <c r="E160" i="6"/>
  <c r="F35" i="1" s="1"/>
  <c r="D160" i="6"/>
  <c r="E35" i="1" s="1"/>
  <c r="A2" i="20" l="1"/>
  <c r="A1" i="16"/>
  <c r="A1" i="21"/>
  <c r="A1" i="14"/>
  <c r="A1" i="9"/>
  <c r="A1" i="8"/>
  <c r="A1" i="6"/>
  <c r="A1" i="3"/>
  <c r="G61" i="9"/>
  <c r="G52" i="13"/>
  <c r="E47" i="8"/>
  <c r="D5" i="14" l="1"/>
  <c r="E5" i="14"/>
  <c r="B21" i="20" l="1"/>
  <c r="B13" i="20"/>
  <c r="C13" i="20"/>
  <c r="H10" i="16"/>
  <c r="F10" i="20"/>
  <c r="E148" i="6"/>
  <c r="D65" i="6"/>
  <c r="D123" i="6"/>
  <c r="E123" i="6"/>
  <c r="D104" i="6"/>
  <c r="E104" i="6"/>
  <c r="D88" i="6"/>
  <c r="E88" i="6"/>
  <c r="D68" i="6"/>
  <c r="E68" i="6"/>
  <c r="D22" i="6"/>
  <c r="E22" i="6"/>
  <c r="E35" i="9" l="1"/>
  <c r="A4" i="6"/>
  <c r="B52" i="13" l="1"/>
  <c r="E68" i="14" l="1"/>
  <c r="E69" i="14" s="1"/>
  <c r="D38" i="6" l="1"/>
  <c r="D119" i="6" l="1"/>
  <c r="D29" i="6"/>
  <c r="A2" i="6"/>
  <c r="D47" i="8"/>
  <c r="D40" i="8"/>
  <c r="D13" i="8"/>
  <c r="D15" i="6"/>
  <c r="D18" i="6" l="1"/>
  <c r="E19" i="14"/>
  <c r="E15" i="6"/>
  <c r="E18" i="6" s="1"/>
  <c r="C18" i="9"/>
  <c r="E11" i="9"/>
  <c r="D19" i="6" l="1"/>
  <c r="E11" i="1" s="1"/>
  <c r="E19" i="6"/>
  <c r="F11" i="1" s="1"/>
  <c r="D8" i="8"/>
  <c r="F18" i="9"/>
  <c r="D18" i="9" l="1"/>
  <c r="C8" i="21"/>
  <c r="D8" i="21" s="1"/>
  <c r="E8" i="21" s="1"/>
  <c r="F8" i="21" s="1"/>
  <c r="H8" i="21" s="1"/>
  <c r="I8" i="21" s="1"/>
  <c r="H17" i="9"/>
  <c r="H15" i="9"/>
  <c r="A2" i="8"/>
  <c r="H11" i="9" l="1"/>
  <c r="H10" i="9"/>
  <c r="A1" i="20"/>
  <c r="D97" i="6" l="1"/>
  <c r="D99" i="6" s="1"/>
  <c r="D91" i="6"/>
  <c r="D93" i="6" s="1"/>
  <c r="E16" i="1"/>
  <c r="D39" i="6"/>
  <c r="E10" i="3"/>
  <c r="D10" i="3"/>
  <c r="E22" i="2"/>
  <c r="D132" i="6"/>
  <c r="D150" i="6" s="1"/>
  <c r="E119" i="6"/>
  <c r="D110" i="6"/>
  <c r="D120" i="6" s="1"/>
  <c r="D69" i="6"/>
  <c r="D71" i="6" s="1"/>
  <c r="E19" i="1" s="1"/>
  <c r="D37" i="6"/>
  <c r="D42" i="6" s="1"/>
  <c r="D53" i="6" s="1"/>
  <c r="E14" i="2"/>
  <c r="E12" i="2"/>
  <c r="E11" i="2"/>
  <c r="E6" i="2"/>
  <c r="E5" i="2"/>
  <c r="D5" i="8"/>
  <c r="D22" i="14"/>
  <c r="D73" i="14" s="1"/>
  <c r="D133" i="14" s="1"/>
  <c r="E34" i="1" l="1"/>
  <c r="D16" i="8"/>
  <c r="D33" i="8" s="1"/>
  <c r="D55" i="8" s="1"/>
  <c r="D60" i="8" s="1"/>
  <c r="D11" i="8"/>
  <c r="E7" i="2"/>
  <c r="E18" i="1"/>
  <c r="E17" i="1"/>
  <c r="D40" i="6"/>
  <c r="D44" i="6" s="1"/>
  <c r="D101" i="6"/>
  <c r="E32" i="1" s="1"/>
  <c r="E33" i="1"/>
  <c r="E69" i="6"/>
  <c r="D43" i="8" l="1"/>
  <c r="D33" i="6"/>
  <c r="D34" i="6" s="1"/>
  <c r="E14" i="1" s="1"/>
  <c r="E20" i="1" s="1"/>
  <c r="D31" i="3" l="1"/>
  <c r="A123" i="6" l="1"/>
  <c r="A104" i="6"/>
  <c r="A88" i="6"/>
  <c r="A68" i="6" l="1"/>
  <c r="E71" i="6"/>
  <c r="F19" i="1" s="1"/>
  <c r="E136" i="14" l="1"/>
  <c r="A37" i="6" l="1"/>
  <c r="A22" i="6"/>
  <c r="E40" i="8"/>
  <c r="E13" i="8"/>
  <c r="E132" i="6"/>
  <c r="E110" i="6"/>
  <c r="E120" i="6" s="1"/>
  <c r="E29" i="6"/>
  <c r="E150" i="6" l="1"/>
  <c r="E8" i="8" l="1"/>
  <c r="E97" i="6" l="1"/>
  <c r="E99" i="6" s="1"/>
  <c r="E91" i="6"/>
  <c r="E93" i="6" s="1"/>
  <c r="E101" i="6" l="1"/>
  <c r="F32" i="1" s="1"/>
  <c r="E38" i="6"/>
  <c r="E39" i="6"/>
  <c r="F17" i="1" l="1"/>
  <c r="E40" i="6"/>
  <c r="E44" i="6" s="1"/>
  <c r="E30" i="9" l="1"/>
  <c r="H53" i="9"/>
  <c r="H51" i="9"/>
  <c r="G47" i="9"/>
  <c r="G46" i="9"/>
  <c r="G45" i="9"/>
  <c r="F47" i="9"/>
  <c r="F46" i="9"/>
  <c r="F45" i="9"/>
  <c r="E47" i="9"/>
  <c r="E46" i="9"/>
  <c r="E45" i="9"/>
  <c r="D47" i="9"/>
  <c r="D46" i="9"/>
  <c r="D45" i="9"/>
  <c r="C47" i="9"/>
  <c r="C46" i="9"/>
  <c r="C45" i="9"/>
  <c r="H46" i="9" l="1"/>
  <c r="H45" i="9"/>
  <c r="H47" i="9" l="1"/>
  <c r="C48" i="9"/>
  <c r="G48" i="9"/>
  <c r="F48" i="9"/>
  <c r="E48" i="9"/>
  <c r="D48" i="9"/>
  <c r="H36" i="9"/>
  <c r="C37" i="9"/>
  <c r="H34" i="9"/>
  <c r="H30" i="9"/>
  <c r="H29" i="9"/>
  <c r="H48" i="9" l="1"/>
  <c r="I13" i="17"/>
  <c r="I14" i="17"/>
  <c r="I16" i="17"/>
  <c r="I17" i="17"/>
  <c r="I18" i="17"/>
  <c r="I19" i="17"/>
  <c r="I20" i="17"/>
  <c r="I21" i="17"/>
  <c r="I22" i="17"/>
  <c r="I23" i="17"/>
  <c r="I24" i="17"/>
  <c r="I26" i="17"/>
  <c r="F52" i="9" s="1"/>
  <c r="F54" i="9" s="1"/>
  <c r="F56" i="9" s="1"/>
  <c r="F31" i="9" s="1"/>
  <c r="I28" i="17"/>
  <c r="G52" i="9" s="1"/>
  <c r="G54" i="9" s="1"/>
  <c r="G56" i="9" s="1"/>
  <c r="G31" i="9" s="1"/>
  <c r="I29" i="17"/>
  <c r="I11" i="17"/>
  <c r="C52" i="9" s="1"/>
  <c r="C54" i="9" l="1"/>
  <c r="C56" i="9" s="1"/>
  <c r="E52" i="9"/>
  <c r="E54" i="9" s="1"/>
  <c r="E56" i="9" s="1"/>
  <c r="E31" i="9" s="1"/>
  <c r="D52" i="9"/>
  <c r="D54" i="9" s="1"/>
  <c r="D56" i="9" s="1"/>
  <c r="D31" i="9" s="1"/>
  <c r="H52" i="9" l="1"/>
  <c r="H54" i="9" s="1"/>
  <c r="H56" i="9" s="1"/>
  <c r="C31" i="9"/>
  <c r="C39" i="9" s="1"/>
  <c r="H28" i="9"/>
  <c r="H31" i="9" s="1"/>
  <c r="F22" i="2"/>
  <c r="F12" i="2"/>
  <c r="C9" i="9" l="1"/>
  <c r="C12" i="9" s="1"/>
  <c r="C20" i="9" s="1"/>
  <c r="F18" i="1"/>
  <c r="H8" i="16"/>
  <c r="F37" i="9"/>
  <c r="F39" i="9" s="1"/>
  <c r="H19" i="16"/>
  <c r="G37" i="9"/>
  <c r="G39" i="9" s="1"/>
  <c r="H36" i="16"/>
  <c r="H37" i="16" l="1"/>
  <c r="E56" i="8" s="1"/>
  <c r="F13" i="2" s="1"/>
  <c r="F9" i="9"/>
  <c r="F12" i="9" s="1"/>
  <c r="F20" i="9" s="1"/>
  <c r="G9" i="9"/>
  <c r="G12" i="9" s="1"/>
  <c r="E37" i="9"/>
  <c r="E39" i="9" s="1"/>
  <c r="D37" i="9"/>
  <c r="D39" i="9" l="1"/>
  <c r="D9" i="9" s="1"/>
  <c r="D12" i="9" s="1"/>
  <c r="D20" i="9" s="1"/>
  <c r="E9" i="9"/>
  <c r="E12" i="9" s="1"/>
  <c r="J37" i="16"/>
  <c r="H35" i="9"/>
  <c r="H37" i="9" s="1"/>
  <c r="H39" i="9" s="1"/>
  <c r="H9" i="9" s="1"/>
  <c r="H12" i="9" s="1"/>
  <c r="F34" i="1" l="1"/>
  <c r="F10" i="2" l="1"/>
  <c r="B9" i="20"/>
  <c r="F31" i="1"/>
  <c r="F16" i="1" l="1"/>
  <c r="G34" i="3"/>
  <c r="C31" i="3" s="1"/>
  <c r="E5" i="8" l="1"/>
  <c r="E37" i="6"/>
  <c r="E42" i="6" s="1"/>
  <c r="E53" i="6" s="1"/>
  <c r="A24" i="3" l="1"/>
  <c r="E33" i="6" l="1"/>
  <c r="E34" i="6" l="1"/>
  <c r="F11" i="2" l="1"/>
  <c r="A60" i="8" l="1"/>
  <c r="A55" i="8"/>
  <c r="A43" i="8"/>
  <c r="A33" i="8"/>
  <c r="A16" i="8"/>
  <c r="A11" i="8"/>
  <c r="A5" i="8"/>
  <c r="A53" i="6"/>
  <c r="G53" i="13" l="1"/>
  <c r="G62" i="9" l="1"/>
  <c r="F6" i="2"/>
  <c r="E30" i="17" l="1"/>
  <c r="F30" i="17"/>
  <c r="H30" i="17"/>
  <c r="G28" i="17"/>
  <c r="G26" i="17"/>
  <c r="G24" i="17"/>
  <c r="J24" i="17" s="1"/>
  <c r="G23" i="17"/>
  <c r="J23" i="17" s="1"/>
  <c r="G22" i="17"/>
  <c r="J22" i="17" s="1"/>
  <c r="G21" i="17"/>
  <c r="J21" i="17" s="1"/>
  <c r="G20" i="17"/>
  <c r="J20" i="17" s="1"/>
  <c r="G19" i="17"/>
  <c r="J19" i="17" s="1"/>
  <c r="G18" i="17"/>
  <c r="J18" i="17" s="1"/>
  <c r="G17" i="17"/>
  <c r="J17" i="17" s="1"/>
  <c r="G16" i="17"/>
  <c r="J16" i="17" s="1"/>
  <c r="G14" i="17"/>
  <c r="J14" i="17" s="1"/>
  <c r="G11" i="17"/>
  <c r="J11" i="17" s="1"/>
  <c r="C8" i="17"/>
  <c r="D8" i="17" s="1"/>
  <c r="E8" i="17" s="1"/>
  <c r="F8" i="17" s="1"/>
  <c r="G8" i="17" s="1"/>
  <c r="I8" i="17" s="1"/>
  <c r="J8" i="17" s="1"/>
  <c r="F20" i="16"/>
  <c r="C6" i="16"/>
  <c r="D6" i="16" s="1"/>
  <c r="E6" i="16" s="1"/>
  <c r="F6" i="16" s="1"/>
  <c r="H6" i="16" s="1"/>
  <c r="I6" i="16" s="1"/>
  <c r="F37" i="16" l="1"/>
  <c r="D30" i="17"/>
  <c r="I30" i="17"/>
  <c r="J28" i="17"/>
  <c r="J26" i="17"/>
  <c r="G13" i="17"/>
  <c r="J13" i="17" s="1"/>
  <c r="I20" i="16"/>
  <c r="I10" i="16"/>
  <c r="H24" i="21" l="1"/>
  <c r="G16" i="9" s="1"/>
  <c r="G18" i="9" s="1"/>
  <c r="G20" i="9" s="1"/>
  <c r="F24" i="21"/>
  <c r="I37" i="16"/>
  <c r="J30" i="17"/>
  <c r="G30" i="17"/>
  <c r="I24" i="21" l="1"/>
  <c r="F11" i="21"/>
  <c r="H11" i="21"/>
  <c r="F14" i="2"/>
  <c r="F15" i="2" s="1"/>
  <c r="I11" i="21" l="1"/>
  <c r="E26" i="1" s="1"/>
  <c r="E28" i="1" s="1"/>
  <c r="E16" i="9"/>
  <c r="H16" i="9" s="1"/>
  <c r="H18" i="9" s="1"/>
  <c r="H20" i="9" s="1"/>
  <c r="F26" i="1"/>
  <c r="F28" i="1" s="1"/>
  <c r="D56" i="8" l="1"/>
  <c r="G75" i="21"/>
  <c r="E18" i="9"/>
  <c r="E20" i="9" s="1"/>
  <c r="J68" i="21"/>
  <c r="I39" i="16"/>
  <c r="F14" i="1"/>
  <c r="F20" i="1" s="1"/>
  <c r="E13" i="2" l="1"/>
  <c r="D57" i="8"/>
  <c r="B53" i="13"/>
  <c r="D4" i="2" l="1"/>
  <c r="E22" i="14" l="1"/>
  <c r="E73" i="14" s="1"/>
  <c r="E133" i="14" s="1"/>
  <c r="E16" i="8" l="1"/>
  <c r="E33" i="8" s="1"/>
  <c r="E11" i="8"/>
  <c r="B61" i="9" l="1"/>
  <c r="E43" i="8"/>
  <c r="B62" i="9" l="1"/>
  <c r="E55" i="8"/>
  <c r="A1" i="13"/>
  <c r="E60" i="8" l="1"/>
  <c r="A78" i="6" l="1"/>
  <c r="F33" i="1" l="1"/>
  <c r="F36" i="1" l="1"/>
  <c r="F37" i="1" s="1"/>
  <c r="A2" i="9"/>
  <c r="A53" i="8"/>
  <c r="A1" i="2" l="1"/>
  <c r="E57" i="8" l="1"/>
  <c r="F5" i="2"/>
  <c r="F7" i="2" l="1"/>
  <c r="A52" i="8"/>
  <c r="F17" i="2" l="1"/>
  <c r="E33" i="3"/>
  <c r="D33" i="3"/>
  <c r="F11" i="3" l="1"/>
  <c r="G11" i="3" s="1"/>
  <c r="F7" i="1" s="1"/>
  <c r="F24" i="2"/>
  <c r="F31" i="3" s="1"/>
  <c r="G31" i="3" s="1"/>
  <c r="C33" i="3"/>
  <c r="C8" i="3" l="1"/>
  <c r="F33" i="3"/>
  <c r="G33" i="3" s="1"/>
  <c r="F8" i="1" s="1"/>
  <c r="F21" i="1" s="1"/>
  <c r="C10" i="3" l="1"/>
  <c r="E27" i="20" l="1"/>
  <c r="B25" i="20" s="1"/>
  <c r="D27" i="8"/>
  <c r="B27" i="20" l="1"/>
  <c r="D29" i="8"/>
  <c r="E10" i="2" s="1"/>
  <c r="E15" i="2" s="1"/>
  <c r="E17" i="2" s="1"/>
  <c r="E31" i="1"/>
  <c r="E36" i="1" s="1"/>
  <c r="E37" i="1" s="1"/>
  <c r="E24" i="2" l="1"/>
  <c r="F8" i="3" s="1"/>
  <c r="G8" i="3" s="1"/>
  <c r="F10" i="3" l="1"/>
  <c r="G10" i="3" s="1"/>
  <c r="E7" i="1" s="1"/>
  <c r="E8" i="1" s="1"/>
  <c r="E21" i="1" s="1"/>
  <c r="F27" i="20" l="1"/>
  <c r="C25" i="20" s="1"/>
  <c r="C27" i="20" l="1"/>
</calcChain>
</file>

<file path=xl/sharedStrings.xml><?xml version="1.0" encoding="utf-8"?>
<sst xmlns="http://schemas.openxmlformats.org/spreadsheetml/2006/main" count="624" uniqueCount="332">
  <si>
    <t>(Amount in Rs.)</t>
  </si>
  <si>
    <t>Particulars</t>
  </si>
  <si>
    <t>I</t>
  </si>
  <si>
    <t>(a)</t>
  </si>
  <si>
    <t>(b)</t>
  </si>
  <si>
    <t>(c)</t>
  </si>
  <si>
    <t>(d)</t>
  </si>
  <si>
    <t>Current liabilities</t>
  </si>
  <si>
    <t>Other current liabilities</t>
  </si>
  <si>
    <t>Total</t>
  </si>
  <si>
    <t>II</t>
  </si>
  <si>
    <t>ASSETS</t>
  </si>
  <si>
    <t>Non-current assets</t>
  </si>
  <si>
    <t>Property, Plant and Equipment and Intangible assets</t>
  </si>
  <si>
    <t>(e)</t>
  </si>
  <si>
    <t>Current assets</t>
  </si>
  <si>
    <t>Cash and bank balances</t>
  </si>
  <si>
    <t xml:space="preserve">Short Term Loans and Advances </t>
  </si>
  <si>
    <t>Summary of significant accounting policies</t>
  </si>
  <si>
    <t>The accompanying notes are an integral part of the financial statements</t>
  </si>
  <si>
    <t>Revenue from operations</t>
  </si>
  <si>
    <t>Other Income</t>
  </si>
  <si>
    <t>III</t>
  </si>
  <si>
    <t>Total Income (I+II)</t>
  </si>
  <si>
    <t>IV</t>
  </si>
  <si>
    <t>Expenses:</t>
  </si>
  <si>
    <t>Employee benefits expense</t>
  </si>
  <si>
    <t>Depreciation and amortization expense</t>
  </si>
  <si>
    <t>Other expenses</t>
  </si>
  <si>
    <t>Total expenses</t>
  </si>
  <si>
    <t>V</t>
  </si>
  <si>
    <t>VI</t>
  </si>
  <si>
    <t>Tax expense:</t>
  </si>
  <si>
    <t>Current tax</t>
  </si>
  <si>
    <t>Excess/ Short provision of tax relating to earlier years</t>
  </si>
  <si>
    <t>Profit/(Loss) for the year (XI+XIV)</t>
  </si>
  <si>
    <t>The accompanying notes are an integral part of the  financial statements</t>
  </si>
  <si>
    <t>Sr. No.</t>
  </si>
  <si>
    <t>Withdrawals during the year</t>
  </si>
  <si>
    <t>Share of Profit / Loss for the year</t>
  </si>
  <si>
    <t>Previous Year (PY)</t>
  </si>
  <si>
    <t>TOTAL</t>
  </si>
  <si>
    <t>Cash and Bank Balances</t>
  </si>
  <si>
    <t>Cash and cash equivalents</t>
  </si>
  <si>
    <t>Other bank balances</t>
  </si>
  <si>
    <t>Total Depreciation and amortization expense
expense</t>
  </si>
  <si>
    <t>Salaries</t>
  </si>
  <si>
    <t>Furniture         &amp;
Fixtures</t>
  </si>
  <si>
    <t>Computers</t>
  </si>
  <si>
    <t>Additions</t>
  </si>
  <si>
    <t>Deductions/Adjustments</t>
  </si>
  <si>
    <t>At 1 April 2020</t>
  </si>
  <si>
    <t>Particulars /Assets</t>
  </si>
  <si>
    <t>PARTICULARS</t>
  </si>
  <si>
    <t>Plant And Machinery</t>
  </si>
  <si>
    <t>Vehicles</t>
  </si>
  <si>
    <t>Total Other current liabilities</t>
  </si>
  <si>
    <t>A</t>
  </si>
  <si>
    <t>B</t>
  </si>
  <si>
    <t>Total Employee benefits expense</t>
  </si>
  <si>
    <t>Other Expenses</t>
  </si>
  <si>
    <t>Total revenue from operation</t>
  </si>
  <si>
    <t xml:space="preserve"> Note No.</t>
  </si>
  <si>
    <t>Chartered Accountant</t>
  </si>
  <si>
    <t>Owners’ Fund</t>
  </si>
  <si>
    <t>Owners Capital Account</t>
  </si>
  <si>
    <t>Capital Introduced during the year</t>
  </si>
  <si>
    <t>Secured</t>
  </si>
  <si>
    <t>Total (A)</t>
  </si>
  <si>
    <t xml:space="preserve">Unsecured </t>
  </si>
  <si>
    <t xml:space="preserve">Total (B) </t>
  </si>
  <si>
    <t>Total (A) + (B)</t>
  </si>
  <si>
    <t>UNSECURED LOAN</t>
  </si>
  <si>
    <t>31.03.2022</t>
  </si>
  <si>
    <t>SHRAMANSRI INTERNATIONAL</t>
  </si>
  <si>
    <t>Short-term borrowings</t>
  </si>
  <si>
    <t>(i)  total  outstanding  dues of  micro,  small  and medium    enterprises and;</t>
  </si>
  <si>
    <t>(ii)  total outstanding dues of creditors other than Micro, Small and Medium Enterprises</t>
  </si>
  <si>
    <t>SUNDRY CREDITORS</t>
  </si>
  <si>
    <t>Trade Payables</t>
  </si>
  <si>
    <t>Inventories</t>
  </si>
  <si>
    <t>Trade Receivables</t>
  </si>
  <si>
    <t>(a) Secured Considered good</t>
  </si>
  <si>
    <t>(b) Unsecured Considered good</t>
  </si>
  <si>
    <t>(c) Doubtful</t>
  </si>
  <si>
    <t>Finance cost</t>
  </si>
  <si>
    <t>Total Finance cost</t>
  </si>
  <si>
    <t>DETAIL OF FIXED ASSETS</t>
  </si>
  <si>
    <t xml:space="preserve">      W.D.V </t>
  </si>
  <si>
    <t>ADDITIONS</t>
  </si>
  <si>
    <t>RATE</t>
  </si>
  <si>
    <t xml:space="preserve">W.D.V </t>
  </si>
  <si>
    <t xml:space="preserve">     AS ON</t>
  </si>
  <si>
    <t>GREATER THAN</t>
  </si>
  <si>
    <t>LESS THAN</t>
  </si>
  <si>
    <t>SALE</t>
  </si>
  <si>
    <t>DEPRECIATION</t>
  </si>
  <si>
    <t>01.04.2021</t>
  </si>
  <si>
    <t>180 DAYS</t>
  </si>
  <si>
    <t>%</t>
  </si>
  <si>
    <t xml:space="preserve">AIR CONDITIONER </t>
  </si>
  <si>
    <t xml:space="preserve">CAR </t>
  </si>
  <si>
    <t xml:space="preserve">COMPUTER </t>
  </si>
  <si>
    <t>FAN</t>
  </si>
  <si>
    <t xml:space="preserve">FURNITURE AND FIXTURE </t>
  </si>
  <si>
    <t>WEIGHT SCALE</t>
  </si>
  <si>
    <t>FURNITURE &amp; FIXTURE</t>
  </si>
  <si>
    <t>PLANT &amp; MACHINERY</t>
  </si>
  <si>
    <t>VEHICLE</t>
  </si>
  <si>
    <t>Amount in Rs.</t>
  </si>
  <si>
    <t>Inventories at the beginning of the year</t>
  </si>
  <si>
    <t>Inventories at the end of the year</t>
  </si>
  <si>
    <t>Direct Expenses</t>
  </si>
  <si>
    <t>Total   (a+b+c-d)</t>
  </si>
  <si>
    <t>Other Incomes</t>
  </si>
  <si>
    <t>Total other incomes</t>
  </si>
  <si>
    <t>Proprietor</t>
  </si>
  <si>
    <t>Name of Proprietor</t>
  </si>
  <si>
    <t>Tangibles</t>
  </si>
  <si>
    <t>Depreciation/Adjustments</t>
  </si>
  <si>
    <t>Trade receivables</t>
  </si>
  <si>
    <t xml:space="preserve">Employee benefits expense
</t>
  </si>
  <si>
    <t>(a) Total outstanding dues of micro, small and medium enterprises</t>
  </si>
  <si>
    <t>(b) Total outstanding dues of creditors other than micro, small and medium enterprises</t>
  </si>
  <si>
    <t>(a)   Amount   remaining   unpaid   to   any supplier  at  the  end  of  each  accounting year:</t>
  </si>
  <si>
    <t xml:space="preserve">Principal  </t>
  </si>
  <si>
    <t>Interest</t>
  </si>
  <si>
    <t>(b)  The  amount  of  interest  paid  by  the buyer in terms of section 16 of the MSMED Act, along with the amount of the payment made to the supplier beyond the appointed day during each accounting year.</t>
  </si>
  <si>
    <t>(c) The amount of interest due and payable for the period of delay in making payment (which  have  been  paid  but  beyond  the appointed day during the year) but without adding  the  interest  specified  under  the MSMED Act.</t>
  </si>
  <si>
    <t>(d)  The  amount  of  interest  accrued  and remaining  unpaid  at  the  end  of  each accounting year.</t>
  </si>
  <si>
    <t>(e)   The    amount   of   further   interest remaining  due  and  payable  even  in  the succeeding years, until such date when the interest dues above are actually paid to the small   enterprise,   for   the   purpose   of disallowance  of  a  deductible  expenditure
under section 23 of the MSMED Act.</t>
  </si>
  <si>
    <t>Fixed Assetsare stated at written down value as on date.</t>
  </si>
  <si>
    <t>Income Tax Act, 1961.</t>
  </si>
  <si>
    <t xml:space="preserve">The Accounts are prepared in accordance with the accounting principles generally accepted in India </t>
  </si>
  <si>
    <t>Significant Accounting Policies</t>
  </si>
  <si>
    <t xml:space="preserve">and are in line with the relevant laws.                     </t>
  </si>
  <si>
    <t>General</t>
  </si>
  <si>
    <t xml:space="preserve">Accounting Policies not specifically referred to otherwise are consistent and in consonance with </t>
  </si>
  <si>
    <t>generally accepted accounting policies</t>
  </si>
  <si>
    <t>Property Plant &amp; Equipments</t>
  </si>
  <si>
    <t>C</t>
  </si>
  <si>
    <t>Revenue Recognition</t>
  </si>
  <si>
    <t>Revenue is recognized on accrual basis.</t>
  </si>
  <si>
    <t>D</t>
  </si>
  <si>
    <t>E</t>
  </si>
  <si>
    <t xml:space="preserve">treated as part of cost of capital assets. Other borrowing costs are treated as expenses for the period </t>
  </si>
  <si>
    <t>in which they are incurred.</t>
  </si>
  <si>
    <t>Contingent liability                :Nil</t>
  </si>
  <si>
    <t xml:space="preserve">The micro, Small and Medium Enterprise Development Act, 2006 has come into force with effect </t>
  </si>
  <si>
    <t>and have been duly authenticated hereto.</t>
  </si>
  <si>
    <t>Trade payables</t>
  </si>
  <si>
    <t>Total Trade payables</t>
  </si>
  <si>
    <t>WDV as at 1 April 2021</t>
  </si>
  <si>
    <t>Toal</t>
  </si>
  <si>
    <t>Profit before tax (III-VI)</t>
  </si>
  <si>
    <t>VII</t>
  </si>
  <si>
    <t>(i) Property, Plant and Equipment</t>
  </si>
  <si>
    <t>realization in the ordinary course of business at least equal to the amount at which they are stated.</t>
  </si>
  <si>
    <t>Purchases</t>
  </si>
  <si>
    <t>Disclosure relating to suppliers registered under MSMED Act based on the information available with the entity Company: Nil</t>
  </si>
  <si>
    <t>Depreciation on Fixed Assets has been provided on WDV in accordance with the rates prescribed under</t>
  </si>
  <si>
    <t>From related parties</t>
  </si>
  <si>
    <t>FROM RELATED PARTIES</t>
  </si>
  <si>
    <t>FROM OTHER PARTIES</t>
  </si>
  <si>
    <t>Borrowing Costs</t>
  </si>
  <si>
    <t xml:space="preserve">Borrowing costs that are directly attributable to acquisition or construction of qualifying assets are </t>
  </si>
  <si>
    <t xml:space="preserve">In the opinion of the proprietor, all the current assets, loans and advances have a value on </t>
  </si>
  <si>
    <t xml:space="preserve">Debit  or  credit  balances,  in  whatever  account,  are  subject  to confirmation  from  parties  and </t>
  </si>
  <si>
    <t>as such their effect on  Profit  &amp;  Loss Account cannot be reflected.</t>
  </si>
  <si>
    <t xml:space="preserve">Vendors/Service Providers and pay interest to them on overdue amount beyond the specified period </t>
  </si>
  <si>
    <t>Notes on financial statements form an integral part of the Balance Sheet &amp; Profit and Loss account</t>
  </si>
  <si>
    <t>Note - 2: Owner's Capital Account</t>
  </si>
  <si>
    <t>Inventories are valued at cost or net realizable price whichever is lower, except scrap at net realisable value. The cost formula used for valuation of inventories are:-</t>
  </si>
  <si>
    <t>2. Finished goods are valued on retail price method.</t>
  </si>
  <si>
    <t>1. In respect of raw material and packing material, have been valued at cost on FIFO basis.</t>
  </si>
  <si>
    <t>Notes forming part of the Financial Statements  for the year ended, 31st March, 2023</t>
  </si>
  <si>
    <t>As at 1st April 2022</t>
  </si>
  <si>
    <t>As at 31st March 2023</t>
  </si>
  <si>
    <t>WDV as at 1 April 2022</t>
  </si>
  <si>
    <t>LAND</t>
  </si>
  <si>
    <t>CAMERA</t>
  </si>
  <si>
    <t>ELECTRICAL FITTINGS</t>
  </si>
  <si>
    <t>GENERATOR</t>
  </si>
  <si>
    <t xml:space="preserve">MACHINERY </t>
  </si>
  <si>
    <t xml:space="preserve">MOBILE </t>
  </si>
  <si>
    <t>ROOM HEATER</t>
  </si>
  <si>
    <t>WATER COOLER</t>
  </si>
  <si>
    <t>Land</t>
  </si>
  <si>
    <t xml:space="preserve">Dimpal Jain </t>
  </si>
  <si>
    <t>(Pushkal Soni)</t>
  </si>
  <si>
    <t>(DIMPAL JAIN)</t>
  </si>
  <si>
    <t>OPENING STOCK</t>
  </si>
  <si>
    <t>PURCHASES</t>
  </si>
  <si>
    <t>DIRECT EXPENSES</t>
  </si>
  <si>
    <t xml:space="preserve">GROSS PROFIT </t>
  </si>
  <si>
    <t xml:space="preserve">   CURRENT YEAR</t>
  </si>
  <si>
    <t xml:space="preserve">PREVIOUS YEAR </t>
  </si>
  <si>
    <t>Rs.       P</t>
  </si>
  <si>
    <t>SALES</t>
  </si>
  <si>
    <t xml:space="preserve">CLOSING STOCK </t>
  </si>
  <si>
    <t>(As Certified by the Proprietor)</t>
  </si>
  <si>
    <t>DUE TO MSME CREDITORS</t>
  </si>
  <si>
    <t>OWNERS’ FUNDS AND LIABILITIES</t>
  </si>
  <si>
    <t xml:space="preserve"> Short Term Borrowings</t>
  </si>
  <si>
    <t xml:space="preserve">Short Term Loans and advances </t>
  </si>
  <si>
    <t>TRADE RECEIVABLE (Outstanding for a period less than 6 months
from the date they are due for receipt)</t>
  </si>
  <si>
    <t>TRADE RECEIVABLE (Outstanding for a period exceeding 6 months
from the date they are due for receipt)</t>
  </si>
  <si>
    <t>Outstanding for a period less than 6 months
from the date they are due for receipt</t>
  </si>
  <si>
    <t>Outstanding for a period exceeding 6 months
from the date they are due for receipt</t>
  </si>
  <si>
    <t>Cost of material consumed</t>
  </si>
  <si>
    <t>Short-Term Provisions</t>
  </si>
  <si>
    <t>Business Information</t>
  </si>
  <si>
    <t>Unsecured, Considered Good</t>
  </si>
  <si>
    <t>Loans to Related Parties</t>
  </si>
  <si>
    <t>Loans to Others</t>
  </si>
  <si>
    <t>Advance to revenue Authorities</t>
  </si>
  <si>
    <t>Total (B)</t>
  </si>
  <si>
    <t>Total (C)</t>
  </si>
  <si>
    <t>Total(B)</t>
  </si>
  <si>
    <t>Total (A+B)</t>
  </si>
  <si>
    <t>Total other bank balances (B)</t>
  </si>
  <si>
    <t>Total Cash and bank balances (A+B)</t>
  </si>
  <si>
    <t xml:space="preserve"> Loans repayable on demand</t>
  </si>
  <si>
    <t>Loans repayable on demand</t>
  </si>
  <si>
    <t>Sale of Goods</t>
  </si>
  <si>
    <t>Bonus</t>
  </si>
  <si>
    <t>Bank Interest</t>
  </si>
  <si>
    <t>Bank Charges</t>
  </si>
  <si>
    <t/>
  </si>
  <si>
    <t>Short-term Provisions</t>
  </si>
  <si>
    <t xml:space="preserve">Net Provision For Tax </t>
  </si>
  <si>
    <t>7      Property, Plant and Equipment and Intangible Assets</t>
  </si>
  <si>
    <t>Curret Year (CY)</t>
  </si>
  <si>
    <t>CURRENT YEAR (CY)</t>
  </si>
  <si>
    <t>PREVIOUS YEAR (PY)</t>
  </si>
  <si>
    <t>As at 31.03.2024</t>
  </si>
  <si>
    <t>Year ending 31.03.2024</t>
  </si>
  <si>
    <t>31.03.2024</t>
  </si>
  <si>
    <t>WDV as at 1 April 2023</t>
  </si>
  <si>
    <t>WDV as at 1 April 2024</t>
  </si>
  <si>
    <t>01.04.2023</t>
  </si>
  <si>
    <t>At 1 April 2023</t>
  </si>
  <si>
    <t xml:space="preserve">from October 2, 2006. As per the act, the asssessee is required to identify the Micro and Small </t>
  </si>
  <si>
    <t>irrespective of the terms agreed upon. The assessee has not paid any interest to such persons.</t>
  </si>
  <si>
    <t>Balance Sheet as at 31 March, 2025</t>
  </si>
  <si>
    <t>As at 31.03.2025</t>
  </si>
  <si>
    <t>Statement of Profit &amp; Loss for the year ended 31 March, 2025</t>
  </si>
  <si>
    <t>Year ending 31.03.2025</t>
  </si>
  <si>
    <t>Notes on Financial Statement for the year end 31 March, 2025</t>
  </si>
  <si>
    <t>As at 1st April 2024</t>
  </si>
  <si>
    <t>As at 31st March 2025</t>
  </si>
  <si>
    <t>Notes forming part of the Financial Statements  for the year ended, 31st March, 2025</t>
  </si>
  <si>
    <t>01.04.2024</t>
  </si>
  <si>
    <t>31.03.2025</t>
  </si>
  <si>
    <t>TRADING ACCOUNT FOR THE YEAR ENDING 31ST MARCH ,2025</t>
  </si>
  <si>
    <t>Non-current liabilities</t>
  </si>
  <si>
    <t>Long-term borrowings</t>
  </si>
  <si>
    <t xml:space="preserve"> Long Term Borrowings</t>
  </si>
  <si>
    <t xml:space="preserve">Secured 
</t>
  </si>
  <si>
    <t>Term loans</t>
  </si>
  <si>
    <t>from banks</t>
  </si>
  <si>
    <t>from other parties</t>
  </si>
  <si>
    <t>Unsecured</t>
  </si>
  <si>
    <t>(Secured by Hypothecation of charge on current assets of the company both present and Future)</t>
  </si>
  <si>
    <t>from related parties</t>
  </si>
  <si>
    <t>M/s.</t>
  </si>
  <si>
    <t>Supplementary Details forming part of the Financial Statements  for the year ended, 31st March, 2025</t>
  </si>
  <si>
    <t>WDV as at 31March 2024</t>
  </si>
  <si>
    <t>At 1 April 2024</t>
  </si>
  <si>
    <t>WDV as at 31 March 2025</t>
  </si>
  <si>
    <t xml:space="preserve">Purchase GST </t>
  </si>
  <si>
    <t xml:space="preserve">Sales GST </t>
  </si>
  <si>
    <t>Other Current Assets</t>
  </si>
  <si>
    <t>Other current assets</t>
  </si>
  <si>
    <t>Advance from Customers</t>
  </si>
  <si>
    <t>ADVANCE TO SUPPLIERS</t>
  </si>
  <si>
    <t>Current Investments</t>
  </si>
  <si>
    <t>Mutual Funds</t>
  </si>
  <si>
    <t>(ii) Non-Current Investments</t>
  </si>
  <si>
    <t>Non Current Investments</t>
  </si>
  <si>
    <t>Interest on Unsecured Loan</t>
  </si>
  <si>
    <t>Insurance</t>
  </si>
  <si>
    <t>Telephone Expenses</t>
  </si>
  <si>
    <t>COMPUTERS</t>
  </si>
  <si>
    <t>Computer</t>
  </si>
  <si>
    <t>FURNITURE AND FIXTURES</t>
  </si>
  <si>
    <t>Chair</t>
  </si>
  <si>
    <t>Mobile</t>
  </si>
  <si>
    <t>Camera &amp; DVR</t>
  </si>
  <si>
    <t>Building</t>
  </si>
  <si>
    <t>BUILDING</t>
  </si>
  <si>
    <t>Machine</t>
  </si>
  <si>
    <t xml:space="preserve">Furniture &amp; Fixture </t>
  </si>
  <si>
    <t>Electricals</t>
  </si>
  <si>
    <t>Washing Machine</t>
  </si>
  <si>
    <t>LED</t>
  </si>
  <si>
    <t>(a) Cash in hand</t>
  </si>
  <si>
    <t xml:space="preserve"> </t>
  </si>
  <si>
    <t xml:space="preserve">-Purchase GST </t>
  </si>
  <si>
    <t xml:space="preserve"> F.O.C.</t>
  </si>
  <si>
    <t>Staff &amp; Labour welfare expenses</t>
  </si>
  <si>
    <t>Audit Fee</t>
  </si>
  <si>
    <t>Car Exp</t>
  </si>
  <si>
    <t>Commisssion</t>
  </si>
  <si>
    <t>Diwali Exp.</t>
  </si>
  <si>
    <t>Electricity Exp</t>
  </si>
  <si>
    <t>Labour Charges</t>
  </si>
  <si>
    <t>Legal Fee</t>
  </si>
  <si>
    <t>Loading Unloading Charges</t>
  </si>
  <si>
    <t>Petrol Exp.</t>
  </si>
  <si>
    <t>Repair &amp; Maintainance</t>
  </si>
  <si>
    <t>Scooter Exp.</t>
  </si>
  <si>
    <t>Shop Exp.</t>
  </si>
  <si>
    <t>Car</t>
  </si>
  <si>
    <t>Motor Cycle &amp; Scooter</t>
  </si>
  <si>
    <t>Digital Moisture Meter</t>
  </si>
  <si>
    <t>Servo Control Voltage Stablizer 3</t>
  </si>
  <si>
    <t>Water Cooler</t>
  </si>
  <si>
    <t>Rebate &amp; Discount</t>
  </si>
  <si>
    <t>Freight Inward</t>
  </si>
  <si>
    <t>Frieght Inward (GST)</t>
  </si>
  <si>
    <t>Addition</t>
  </si>
  <si>
    <t>11.05.2024</t>
  </si>
  <si>
    <t>On tangible assets (Refer note 7)</t>
  </si>
  <si>
    <t>7. Property,plant and equipments</t>
  </si>
  <si>
    <t>Total (A+B+C)</t>
  </si>
  <si>
    <t>M/s XYZ….. is proprietership Consern in which …... is Proprietor. The firm is engaged in the business of Trading.</t>
  </si>
  <si>
    <t xml:space="preserve"> M/S XYZ CO.</t>
  </si>
  <si>
    <t>XYZ</t>
  </si>
  <si>
    <t>Bank CC A/c</t>
  </si>
  <si>
    <t xml:space="preserve"> (a) Bank</t>
  </si>
  <si>
    <t>COMPUTER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</si>
</sst>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00_ ;_ * \-#,##0.00_ ;_ * &quot;-&quot;??_ ;_ @_ "/>
    <numFmt numFmtId="165" formatCode="_ * #,##0_ ;_ * \-#,##0_ ;_ * &quot;-&quot;??_ ;_ @_ "/>
    <numFmt numFmtId="166" formatCode="0.00_)"/>
    <numFmt numFmtId="167" formatCode="#,##0.00\ ;&quot; (&quot;#,##0.00\);&quot; -&quot;#\ ;@\ "/>
    <numFmt numFmtId="168" formatCode="[$-F800]dddd\,\ mmmm\ dd\,\ yyyy"/>
  </numFmts>
  <fonts count="45" x14ac:knownFonts="1">
    <font>
      <sz val="11"/>
      <color theme="1"/>
      <name val="Calibri"/>
      <family val="2"/>
      <scheme val="minor"/>
    </font>
    <font>
      <sz val="11"/>
      <color theme="1"/>
      <name val="Calibri"/>
      <family val="2"/>
      <scheme val="minor"/>
    </font>
    <font>
      <sz val="10"/>
      <color theme="1"/>
      <name val="Trebuchet MS"/>
      <family val="2"/>
    </font>
    <font>
      <sz val="11"/>
      <color indexed="8"/>
      <name val="Calibri"/>
      <family val="2"/>
    </font>
    <font>
      <b/>
      <sz val="10"/>
      <name val="Trebuchet MS"/>
      <family val="2"/>
    </font>
    <font>
      <sz val="10"/>
      <name val="Arial"/>
      <family val="2"/>
    </font>
    <font>
      <u/>
      <sz val="11"/>
      <color theme="10"/>
      <name val="Calibri"/>
      <family val="2"/>
    </font>
    <font>
      <b/>
      <sz val="12"/>
      <name val="Arial"/>
      <family val="2"/>
    </font>
    <font>
      <sz val="12"/>
      <color theme="1"/>
      <name val="Calibri"/>
      <family val="2"/>
      <scheme val="minor"/>
    </font>
    <font>
      <b/>
      <sz val="12"/>
      <name val="Trebuchet MS"/>
      <family val="2"/>
    </font>
    <font>
      <sz val="11"/>
      <color theme="1"/>
      <name val="Trebuchet MS"/>
      <family val="2"/>
    </font>
    <font>
      <b/>
      <sz val="11"/>
      <name val="Trebuchet MS"/>
      <family val="2"/>
    </font>
    <font>
      <sz val="12"/>
      <name val="Trebuchet MS"/>
      <family val="2"/>
    </font>
    <font>
      <sz val="11"/>
      <name val="Trebuchet MS"/>
      <family val="2"/>
    </font>
    <font>
      <sz val="12"/>
      <color theme="1"/>
      <name val="Trebuchet MS"/>
      <family val="2"/>
    </font>
    <font>
      <b/>
      <sz val="11"/>
      <name val="Arial"/>
      <family val="2"/>
    </font>
    <font>
      <sz val="16"/>
      <name val="Arial"/>
      <family val="2"/>
    </font>
    <font>
      <sz val="12"/>
      <name val="Arial"/>
      <family val="2"/>
    </font>
    <font>
      <b/>
      <sz val="16"/>
      <name val="Arial"/>
      <family val="2"/>
    </font>
    <font>
      <sz val="11"/>
      <name val="Arial"/>
      <family val="2"/>
    </font>
    <font>
      <b/>
      <sz val="18"/>
      <name val="Arial"/>
      <family val="2"/>
    </font>
    <font>
      <sz val="18"/>
      <name val="Arial"/>
      <family val="2"/>
    </font>
    <font>
      <sz val="11"/>
      <color rgb="FFFF0000"/>
      <name val="Calibri"/>
      <family val="2"/>
      <scheme val="minor"/>
    </font>
    <font>
      <b/>
      <sz val="12"/>
      <color rgb="FFFF0000"/>
      <name val="Trebuchet MS"/>
      <family val="2"/>
    </font>
    <font>
      <b/>
      <sz val="11"/>
      <color rgb="FFFF0000"/>
      <name val="Trebuchet MS"/>
      <family val="2"/>
    </font>
    <font>
      <sz val="11"/>
      <color rgb="FFFF0000"/>
      <name val="Trebuchet MS"/>
      <family val="2"/>
    </font>
    <font>
      <b/>
      <sz val="10"/>
      <color rgb="FFFF0000"/>
      <name val="Trebuchet MS"/>
      <family val="2"/>
    </font>
    <font>
      <sz val="10"/>
      <color rgb="FFFF0000"/>
      <name val="Trebuchet MS"/>
      <family val="2"/>
    </font>
    <font>
      <sz val="12"/>
      <color rgb="FFFF0000"/>
      <name val="Trebuchet MS"/>
      <family val="2"/>
    </font>
    <font>
      <b/>
      <sz val="12"/>
      <color rgb="FFFF0000"/>
      <name val="Arial"/>
      <family val="2"/>
    </font>
    <font>
      <sz val="16"/>
      <color rgb="FFFF0000"/>
      <name val="Arial"/>
      <family val="2"/>
    </font>
    <font>
      <sz val="12"/>
      <color rgb="FFFF0000"/>
      <name val="Arial"/>
      <family val="2"/>
    </font>
    <font>
      <sz val="10"/>
      <name val="Trebuchet MS"/>
      <family val="2"/>
    </font>
    <font>
      <sz val="11"/>
      <name val="Calibri"/>
      <family val="2"/>
      <scheme val="minor"/>
    </font>
    <font>
      <b/>
      <u/>
      <sz val="11"/>
      <name val="Trebuchet MS"/>
      <family val="2"/>
    </font>
    <font>
      <sz val="14"/>
      <name val="Trebuchet MS"/>
      <family val="2"/>
    </font>
    <font>
      <b/>
      <sz val="14"/>
      <name val="Trebuchet MS"/>
      <family val="2"/>
    </font>
    <font>
      <b/>
      <u/>
      <sz val="18"/>
      <name val="Arial"/>
      <family val="2"/>
    </font>
    <font>
      <u/>
      <sz val="12"/>
      <name val="Trebuchet MS"/>
      <family val="2"/>
    </font>
    <font>
      <b/>
      <sz val="13"/>
      <name val="Trebuchet MS"/>
      <family val="2"/>
    </font>
    <font>
      <b/>
      <sz val="11"/>
      <name val="Calibri"/>
      <family val="2"/>
      <scheme val="minor"/>
    </font>
    <font>
      <b/>
      <sz val="11"/>
      <color rgb="FF000000"/>
      <name val="Trebuchet MS"/>
      <family val="2"/>
    </font>
    <font>
      <b/>
      <u/>
      <sz val="11"/>
      <name val="Arial"/>
      <family val="2"/>
    </font>
    <font>
      <b/>
      <sz val="12"/>
      <color theme="1"/>
      <name val="Calibri"/>
      <family val="2"/>
      <scheme val="minor"/>
    </font>
    <font>
      <sz val="12"/>
      <color theme="1"/>
      <name val="Arial"/>
      <family val="2"/>
    </font>
  </fonts>
  <fills count="2">
    <fill>
      <patternFill patternType="none"/>
    </fill>
    <fill>
      <patternFill patternType="gray125"/>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top style="thin">
        <color indexed="64"/>
      </top>
      <bottom/>
      <diagonal/>
    </border>
    <border>
      <left style="thin">
        <color rgb="FF000000"/>
      </left>
      <right/>
      <top/>
      <bottom style="thin">
        <color indexed="64"/>
      </bottom>
      <diagonal/>
    </border>
    <border>
      <left style="thin">
        <color rgb="FF000000"/>
      </left>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right style="thin">
        <color indexed="64"/>
      </right>
      <top style="thin">
        <color indexed="64"/>
      </top>
      <bottom style="thin">
        <color rgb="FF000000"/>
      </bottom>
      <diagonal/>
    </border>
    <border>
      <left/>
      <right style="thin">
        <color indexed="64"/>
      </right>
      <top style="thin">
        <color rgb="FF000000"/>
      </top>
      <bottom/>
      <diagonal/>
    </border>
    <border>
      <left/>
      <right style="thin">
        <color rgb="FF000000"/>
      </right>
      <top style="thin">
        <color rgb="FF000000"/>
      </top>
      <bottom style="thin">
        <color indexed="64"/>
      </bottom>
      <diagonal/>
    </border>
    <border>
      <left style="thin">
        <color indexed="64"/>
      </left>
      <right/>
      <top/>
      <bottom style="thin">
        <color rgb="FF000000"/>
      </bottom>
      <diagonal/>
    </border>
  </borders>
  <cellStyleXfs count="31">
    <xf numFmtId="0" fontId="0" fillId="0" borderId="0"/>
    <xf numFmtId="164" fontId="1" fillId="0" borderId="0" applyFont="0" applyFill="0" applyBorder="0" applyAlignment="0" applyProtection="0"/>
    <xf numFmtId="164" fontId="3" fillId="0" borderId="0" applyFont="0" applyFill="0" applyBorder="0" applyAlignment="0" applyProtection="0"/>
    <xf numFmtId="0" fontId="5" fillId="0" borderId="0"/>
    <xf numFmtId="164" fontId="1"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0" fontId="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3" fillId="0" borderId="0" applyFont="0" applyFill="0" applyBorder="0" applyAlignment="0" applyProtection="0"/>
    <xf numFmtId="0" fontId="6" fillId="0" borderId="0" applyNumberFormat="0" applyFill="0" applyBorder="0" applyAlignment="0" applyProtection="0">
      <alignment vertical="top"/>
      <protection locked="0"/>
    </xf>
    <xf numFmtId="0" fontId="5" fillId="0" borderId="0"/>
    <xf numFmtId="0" fontId="5" fillId="0" borderId="0"/>
    <xf numFmtId="0" fontId="1" fillId="0" borderId="0"/>
    <xf numFmtId="9" fontId="3"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 fillId="0" borderId="0"/>
    <xf numFmtId="167" fontId="5" fillId="0" borderId="0" applyFill="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9" fontId="5" fillId="0" borderId="0" applyFont="0" applyFill="0" applyBorder="0" applyAlignment="0" applyProtection="0"/>
  </cellStyleXfs>
  <cellXfs count="683">
    <xf numFmtId="0" fontId="0" fillId="0" borderId="0" xfId="0"/>
    <xf numFmtId="0" fontId="2" fillId="0" borderId="0" xfId="0" applyFont="1"/>
    <xf numFmtId="0" fontId="2" fillId="0" borderId="0" xfId="0" applyFont="1" applyAlignment="1">
      <alignment horizontal="center"/>
    </xf>
    <xf numFmtId="0" fontId="4" fillId="0" borderId="0" xfId="3" applyFont="1" applyAlignment="1">
      <alignment vertical="top"/>
    </xf>
    <xf numFmtId="0" fontId="8" fillId="0" borderId="0" xfId="0" applyFont="1"/>
    <xf numFmtId="0" fontId="9" fillId="0" borderId="0" xfId="0" applyFont="1" applyAlignment="1">
      <alignment vertical="top" wrapText="1"/>
    </xf>
    <xf numFmtId="0" fontId="10" fillId="0" borderId="0" xfId="0" applyFont="1"/>
    <xf numFmtId="0" fontId="12" fillId="0" borderId="0" xfId="0" applyFont="1" applyAlignment="1">
      <alignment vertical="top" wrapText="1"/>
    </xf>
    <xf numFmtId="0" fontId="16" fillId="0" borderId="0" xfId="0" applyFont="1" applyAlignment="1">
      <alignment horizontal="left"/>
    </xf>
    <xf numFmtId="0" fontId="7" fillId="0" borderId="0" xfId="0" applyFont="1" applyAlignment="1">
      <alignment horizontal="center" vertical="center"/>
    </xf>
    <xf numFmtId="0" fontId="17" fillId="0" borderId="37" xfId="0" applyFont="1" applyBorder="1"/>
    <xf numFmtId="165" fontId="17" fillId="0" borderId="37" xfId="0" applyNumberFormat="1" applyFont="1" applyBorder="1"/>
    <xf numFmtId="0" fontId="17" fillId="0" borderId="0" xfId="0" applyFont="1"/>
    <xf numFmtId="0" fontId="17" fillId="0" borderId="0" xfId="0" applyFont="1" applyAlignment="1">
      <alignment horizontal="center"/>
    </xf>
    <xf numFmtId="1" fontId="17" fillId="0" borderId="0" xfId="0" applyNumberFormat="1" applyFont="1" applyAlignment="1">
      <alignment horizontal="center"/>
    </xf>
    <xf numFmtId="4" fontId="7" fillId="0" borderId="16" xfId="0" applyNumberFormat="1" applyFont="1" applyBorder="1"/>
    <xf numFmtId="4" fontId="17" fillId="0" borderId="0" xfId="0" applyNumberFormat="1" applyFont="1"/>
    <xf numFmtId="0" fontId="15" fillId="0" borderId="34" xfId="0" applyFont="1" applyBorder="1"/>
    <xf numFmtId="4" fontId="15" fillId="0" borderId="36" xfId="0" applyNumberFormat="1" applyFont="1" applyBorder="1"/>
    <xf numFmtId="4" fontId="15" fillId="0" borderId="34" xfId="0" applyNumberFormat="1" applyFont="1" applyBorder="1" applyAlignment="1">
      <alignment horizontal="center"/>
    </xf>
    <xf numFmtId="4" fontId="15" fillId="0" borderId="36" xfId="0" applyNumberFormat="1" applyFont="1" applyBorder="1" applyAlignment="1">
      <alignment horizontal="center"/>
    </xf>
    <xf numFmtId="1" fontId="15" fillId="0" borderId="34" xfId="0" applyNumberFormat="1" applyFont="1" applyBorder="1" applyAlignment="1">
      <alignment horizontal="center"/>
    </xf>
    <xf numFmtId="2" fontId="15" fillId="0" borderId="34" xfId="0" applyNumberFormat="1" applyFont="1" applyBorder="1" applyAlignment="1">
      <alignment horizontal="center"/>
    </xf>
    <xf numFmtId="0" fontId="15" fillId="0" borderId="33" xfId="0" applyFont="1" applyBorder="1"/>
    <xf numFmtId="4" fontId="15" fillId="0" borderId="33" xfId="0" applyNumberFormat="1" applyFont="1" applyBorder="1" applyAlignment="1">
      <alignment horizontal="center"/>
    </xf>
    <xf numFmtId="1" fontId="15" fillId="0" borderId="33" xfId="0" applyNumberFormat="1" applyFont="1" applyBorder="1" applyAlignment="1">
      <alignment horizontal="center"/>
    </xf>
    <xf numFmtId="2" fontId="15" fillId="0" borderId="33" xfId="0" applyNumberFormat="1" applyFont="1" applyBorder="1" applyAlignment="1">
      <alignment horizontal="center"/>
    </xf>
    <xf numFmtId="0" fontId="19" fillId="0" borderId="37" xfId="0" applyFont="1" applyBorder="1"/>
    <xf numFmtId="4" fontId="15" fillId="0" borderId="35" xfId="0" applyNumberFormat="1" applyFont="1" applyBorder="1" applyAlignment="1">
      <alignment horizontal="center"/>
    </xf>
    <xf numFmtId="4" fontId="15" fillId="0" borderId="37" xfId="0" applyNumberFormat="1" applyFont="1" applyBorder="1" applyAlignment="1">
      <alignment horizontal="center"/>
    </xf>
    <xf numFmtId="165" fontId="19" fillId="0" borderId="33" xfId="0" applyNumberFormat="1" applyFont="1" applyBorder="1"/>
    <xf numFmtId="4" fontId="15" fillId="0" borderId="0" xfId="0" applyNumberFormat="1" applyFont="1" applyAlignment="1">
      <alignment horizontal="center"/>
    </xf>
    <xf numFmtId="0" fontId="17" fillId="0" borderId="33" xfId="0" applyFont="1" applyBorder="1"/>
    <xf numFmtId="165" fontId="17" fillId="0" borderId="33" xfId="0" applyNumberFormat="1" applyFont="1" applyBorder="1"/>
    <xf numFmtId="165" fontId="17" fillId="0" borderId="33" xfId="0" applyNumberFormat="1" applyFont="1" applyBorder="1" applyAlignment="1">
      <alignment horizontal="center"/>
    </xf>
    <xf numFmtId="0" fontId="11" fillId="0" borderId="0" xfId="0" applyFont="1" applyAlignment="1">
      <alignment horizontal="left" vertical="top" wrapText="1"/>
    </xf>
    <xf numFmtId="0" fontId="11" fillId="0" borderId="0" xfId="0" applyFont="1" applyAlignment="1">
      <alignment vertical="top"/>
    </xf>
    <xf numFmtId="0" fontId="10" fillId="0" borderId="8" xfId="0" applyFont="1" applyBorder="1"/>
    <xf numFmtId="0" fontId="11" fillId="0" borderId="0" xfId="0" applyFont="1"/>
    <xf numFmtId="0" fontId="11" fillId="0" borderId="0" xfId="3" applyFont="1" applyAlignment="1">
      <alignment vertical="top"/>
    </xf>
    <xf numFmtId="0" fontId="11" fillId="0" borderId="1" xfId="3" applyFont="1" applyBorder="1" applyAlignment="1">
      <alignment horizontal="center" vertical="top" wrapText="1"/>
    </xf>
    <xf numFmtId="0" fontId="11" fillId="0" borderId="15" xfId="3" applyFont="1" applyBorder="1" applyAlignment="1">
      <alignment horizontal="center" vertical="top" wrapText="1"/>
    </xf>
    <xf numFmtId="0" fontId="13" fillId="0" borderId="6" xfId="0" applyFont="1" applyBorder="1" applyAlignment="1">
      <alignment vertical="top"/>
    </xf>
    <xf numFmtId="0" fontId="13" fillId="0" borderId="11" xfId="0" applyFont="1" applyBorder="1" applyAlignment="1">
      <alignment vertical="top"/>
    </xf>
    <xf numFmtId="0" fontId="13" fillId="0" borderId="15" xfId="0" applyFont="1" applyBorder="1" applyAlignment="1">
      <alignment horizontal="center" vertical="top"/>
    </xf>
    <xf numFmtId="0" fontId="13" fillId="0" borderId="0" xfId="0" applyFont="1"/>
    <xf numFmtId="0" fontId="11" fillId="0" borderId="0" xfId="0" applyFont="1" applyAlignment="1">
      <alignment vertical="top" wrapText="1"/>
    </xf>
    <xf numFmtId="0" fontId="11" fillId="0" borderId="0" xfId="0" applyFont="1" applyAlignment="1">
      <alignment horizontal="right" vertical="top" wrapText="1"/>
    </xf>
    <xf numFmtId="0" fontId="10" fillId="0" borderId="0" xfId="0" applyFont="1" applyAlignment="1">
      <alignment vertical="top"/>
    </xf>
    <xf numFmtId="0" fontId="7" fillId="0" borderId="34" xfId="0" applyFont="1" applyBorder="1"/>
    <xf numFmtId="4" fontId="7" fillId="0" borderId="34" xfId="0" applyNumberFormat="1" applyFont="1" applyBorder="1" applyAlignment="1">
      <alignment horizontal="center"/>
    </xf>
    <xf numFmtId="1" fontId="7" fillId="0" borderId="34" xfId="0" applyNumberFormat="1" applyFont="1" applyBorder="1" applyAlignment="1">
      <alignment horizontal="center"/>
    </xf>
    <xf numFmtId="0" fontId="7" fillId="0" borderId="33" xfId="0" applyFont="1" applyBorder="1"/>
    <xf numFmtId="4" fontId="7" fillId="0" borderId="33" xfId="0" applyNumberFormat="1" applyFont="1" applyBorder="1" applyAlignment="1">
      <alignment horizontal="center"/>
    </xf>
    <xf numFmtId="1" fontId="7" fillId="0" borderId="33" xfId="0" applyNumberFormat="1" applyFont="1" applyBorder="1" applyAlignment="1">
      <alignment horizontal="center"/>
    </xf>
    <xf numFmtId="4" fontId="7" fillId="0" borderId="37" xfId="0" applyNumberFormat="1" applyFont="1" applyBorder="1"/>
    <xf numFmtId="1" fontId="7" fillId="0" borderId="37" xfId="0" applyNumberFormat="1" applyFont="1" applyBorder="1" applyAlignment="1">
      <alignment horizontal="center"/>
    </xf>
    <xf numFmtId="4" fontId="7" fillId="0" borderId="33" xfId="0" applyNumberFormat="1" applyFont="1" applyBorder="1"/>
    <xf numFmtId="165" fontId="17" fillId="0" borderId="37" xfId="0" applyNumberFormat="1" applyFont="1" applyBorder="1" applyAlignment="1">
      <alignment horizontal="center"/>
    </xf>
    <xf numFmtId="165" fontId="7" fillId="0" borderId="44" xfId="0" applyNumberFormat="1" applyFont="1" applyBorder="1"/>
    <xf numFmtId="0" fontId="17" fillId="0" borderId="43" xfId="0" applyFont="1" applyBorder="1"/>
    <xf numFmtId="165" fontId="19" fillId="0" borderId="45" xfId="0" applyNumberFormat="1" applyFont="1" applyBorder="1"/>
    <xf numFmtId="4" fontId="15" fillId="0" borderId="33" xfId="0" applyNumberFormat="1" applyFont="1" applyBorder="1"/>
    <xf numFmtId="3" fontId="15" fillId="0" borderId="33" xfId="0" applyNumberFormat="1" applyFont="1" applyBorder="1" applyAlignment="1">
      <alignment horizontal="center"/>
    </xf>
    <xf numFmtId="3" fontId="15" fillId="0" borderId="35" xfId="0" applyNumberFormat="1" applyFont="1" applyBorder="1" applyAlignment="1">
      <alignment horizontal="center"/>
    </xf>
    <xf numFmtId="3" fontId="15" fillId="0" borderId="37" xfId="0" applyNumberFormat="1" applyFont="1" applyBorder="1" applyAlignment="1">
      <alignment horizontal="center"/>
    </xf>
    <xf numFmtId="3" fontId="19" fillId="0" borderId="33" xfId="0" applyNumberFormat="1" applyFont="1" applyBorder="1"/>
    <xf numFmtId="3" fontId="19" fillId="0" borderId="33" xfId="0" applyNumberFormat="1" applyFont="1" applyBorder="1" applyAlignment="1">
      <alignment horizontal="center"/>
    </xf>
    <xf numFmtId="3" fontId="15" fillId="0" borderId="0" xfId="0" applyNumberFormat="1" applyFont="1" applyAlignment="1">
      <alignment horizontal="center"/>
    </xf>
    <xf numFmtId="3" fontId="17" fillId="0" borderId="37" xfId="0" applyNumberFormat="1" applyFont="1" applyBorder="1"/>
    <xf numFmtId="3" fontId="17" fillId="0" borderId="37" xfId="0" applyNumberFormat="1" applyFont="1" applyBorder="1" applyAlignment="1">
      <alignment horizontal="center"/>
    </xf>
    <xf numFmtId="3" fontId="7" fillId="0" borderId="36" xfId="0" applyNumberFormat="1" applyFont="1" applyBorder="1"/>
    <xf numFmtId="3" fontId="7" fillId="0" borderId="35" xfId="0" applyNumberFormat="1" applyFont="1" applyBorder="1"/>
    <xf numFmtId="3" fontId="7" fillId="0" borderId="0" xfId="0" applyNumberFormat="1" applyFont="1"/>
    <xf numFmtId="3" fontId="17" fillId="0" borderId="33" xfId="0" applyNumberFormat="1" applyFont="1" applyBorder="1"/>
    <xf numFmtId="3" fontId="0" fillId="0" borderId="0" xfId="0" applyNumberFormat="1"/>
    <xf numFmtId="165" fontId="0" fillId="0" borderId="0" xfId="0" applyNumberFormat="1"/>
    <xf numFmtId="0" fontId="10" fillId="0" borderId="16" xfId="0" applyFont="1" applyBorder="1"/>
    <xf numFmtId="165" fontId="8" fillId="0" borderId="0" xfId="0" applyNumberFormat="1" applyFont="1"/>
    <xf numFmtId="3" fontId="8" fillId="0" borderId="0" xfId="0" applyNumberFormat="1" applyFont="1"/>
    <xf numFmtId="2" fontId="7" fillId="0" borderId="46" xfId="0" applyNumberFormat="1" applyFont="1" applyBorder="1" applyAlignment="1">
      <alignment horizontal="center"/>
    </xf>
    <xf numFmtId="2" fontId="7" fillId="0" borderId="43" xfId="0" applyNumberFormat="1" applyFont="1" applyBorder="1" applyAlignment="1">
      <alignment horizontal="center"/>
    </xf>
    <xf numFmtId="4" fontId="7" fillId="0" borderId="47" xfId="0" applyNumberFormat="1" applyFont="1" applyBorder="1" applyAlignment="1">
      <alignment horizontal="right"/>
    </xf>
    <xf numFmtId="4" fontId="7" fillId="0" borderId="43" xfId="0" applyNumberFormat="1" applyFont="1" applyBorder="1" applyAlignment="1">
      <alignment horizontal="right"/>
    </xf>
    <xf numFmtId="165" fontId="17" fillId="0" borderId="43" xfId="0" applyNumberFormat="1" applyFont="1" applyBorder="1"/>
    <xf numFmtId="3" fontId="7" fillId="0" borderId="36" xfId="0" applyNumberFormat="1" applyFont="1" applyBorder="1" applyAlignment="1">
      <alignment horizontal="center"/>
    </xf>
    <xf numFmtId="3" fontId="7" fillId="0" borderId="34" xfId="0" applyNumberFormat="1" applyFont="1" applyBorder="1" applyAlignment="1">
      <alignment horizontal="center"/>
    </xf>
    <xf numFmtId="3" fontId="7" fillId="0" borderId="33" xfId="0" applyNumberFormat="1" applyFont="1" applyBorder="1"/>
    <xf numFmtId="3" fontId="7" fillId="0" borderId="33" xfId="0" applyNumberFormat="1" applyFont="1" applyBorder="1" applyAlignment="1">
      <alignment horizontal="center"/>
    </xf>
    <xf numFmtId="3" fontId="7" fillId="0" borderId="37" xfId="0" applyNumberFormat="1" applyFont="1" applyBorder="1"/>
    <xf numFmtId="0" fontId="11" fillId="0" borderId="8" xfId="0" applyFont="1" applyBorder="1" applyAlignment="1">
      <alignment horizontal="center" vertical="top" wrapText="1"/>
    </xf>
    <xf numFmtId="4" fontId="15" fillId="0" borderId="0" xfId="0" applyNumberFormat="1" applyFont="1"/>
    <xf numFmtId="3" fontId="7" fillId="0" borderId="0" xfId="0" applyNumberFormat="1" applyFont="1" applyAlignment="1">
      <alignment horizontal="center"/>
    </xf>
    <xf numFmtId="0" fontId="7" fillId="0" borderId="47" xfId="0" applyFont="1" applyBorder="1" applyAlignment="1">
      <alignment horizontal="center" vertical="center"/>
    </xf>
    <xf numFmtId="3" fontId="7" fillId="0" borderId="44" xfId="0" applyNumberFormat="1" applyFont="1" applyBorder="1"/>
    <xf numFmtId="0" fontId="7" fillId="0" borderId="44" xfId="0" applyFont="1" applyBorder="1" applyAlignment="1">
      <alignment horizontal="center" vertical="center"/>
    </xf>
    <xf numFmtId="0" fontId="20" fillId="0" borderId="0" xfId="0" applyFont="1" applyAlignment="1">
      <alignment horizontal="center"/>
    </xf>
    <xf numFmtId="0" fontId="26" fillId="0" borderId="0" xfId="3" applyFont="1" applyAlignment="1">
      <alignment vertical="top"/>
    </xf>
    <xf numFmtId="0" fontId="27" fillId="0" borderId="0" xfId="0" applyFont="1"/>
    <xf numFmtId="0" fontId="25" fillId="0" borderId="0" xfId="0" applyFont="1"/>
    <xf numFmtId="0" fontId="25" fillId="0" borderId="4" xfId="0" applyFont="1" applyBorder="1" applyAlignment="1">
      <alignment horizontal="center"/>
    </xf>
    <xf numFmtId="0" fontId="25" fillId="0" borderId="4" xfId="0" applyFont="1" applyBorder="1"/>
    <xf numFmtId="0" fontId="25" fillId="0" borderId="7" xfId="0" applyFont="1" applyBorder="1"/>
    <xf numFmtId="164" fontId="25" fillId="0" borderId="10" xfId="0" applyNumberFormat="1" applyFont="1" applyBorder="1"/>
    <xf numFmtId="164" fontId="25" fillId="0" borderId="4" xfId="0" applyNumberFormat="1" applyFont="1" applyBorder="1"/>
    <xf numFmtId="0" fontId="25" fillId="0" borderId="8" xfId="0" applyFont="1" applyBorder="1"/>
    <xf numFmtId="0" fontId="25" fillId="0" borderId="11" xfId="0" applyFont="1" applyBorder="1" applyAlignment="1">
      <alignment horizontal="center"/>
    </xf>
    <xf numFmtId="0" fontId="25" fillId="0" borderId="14" xfId="0" applyFont="1" applyBorder="1" applyAlignment="1">
      <alignment horizontal="center"/>
    </xf>
    <xf numFmtId="0" fontId="25" fillId="0" borderId="13" xfId="0" applyFont="1" applyBorder="1"/>
    <xf numFmtId="0" fontId="25" fillId="0" borderId="6" xfId="0" applyFont="1" applyBorder="1"/>
    <xf numFmtId="0" fontId="25" fillId="0" borderId="11" xfId="0" applyFont="1" applyBorder="1"/>
    <xf numFmtId="0" fontId="24" fillId="0" borderId="14" xfId="0" applyFont="1" applyBorder="1" applyAlignment="1">
      <alignment horizontal="left"/>
    </xf>
    <xf numFmtId="0" fontId="24" fillId="0" borderId="13" xfId="0" applyFont="1" applyBorder="1" applyAlignment="1">
      <alignment horizontal="left"/>
    </xf>
    <xf numFmtId="0" fontId="25" fillId="0" borderId="16" xfId="0" applyFont="1" applyBorder="1" applyAlignment="1">
      <alignment wrapText="1"/>
    </xf>
    <xf numFmtId="0" fontId="25" fillId="0" borderId="4" xfId="0" applyFont="1" applyBorder="1" applyAlignment="1">
      <alignment horizontal="center" vertical="center"/>
    </xf>
    <xf numFmtId="0" fontId="25" fillId="0" borderId="0" xfId="0" applyFont="1" applyAlignment="1">
      <alignment horizontal="left" vertical="top"/>
    </xf>
    <xf numFmtId="0" fontId="24" fillId="0" borderId="0" xfId="0" applyFont="1" applyAlignment="1">
      <alignment vertical="top" wrapText="1"/>
    </xf>
    <xf numFmtId="0" fontId="25" fillId="0" borderId="2" xfId="0" applyFont="1" applyBorder="1"/>
    <xf numFmtId="0" fontId="25" fillId="0" borderId="5" xfId="0" applyFont="1" applyBorder="1"/>
    <xf numFmtId="0" fontId="24" fillId="0" borderId="8" xfId="0" applyFont="1" applyBorder="1" applyAlignment="1">
      <alignment horizontal="left" vertical="top" wrapText="1"/>
    </xf>
    <xf numFmtId="165" fontId="25" fillId="0" borderId="4" xfId="1" applyNumberFormat="1" applyFont="1" applyBorder="1"/>
    <xf numFmtId="0" fontId="25" fillId="0" borderId="14" xfId="0" applyFont="1" applyBorder="1" applyAlignment="1">
      <alignment vertical="top" wrapText="1"/>
    </xf>
    <xf numFmtId="0" fontId="24" fillId="0" borderId="4" xfId="0" applyFont="1" applyBorder="1" applyAlignment="1">
      <alignment horizontal="left" vertical="top" wrapText="1"/>
    </xf>
    <xf numFmtId="165" fontId="25" fillId="0" borderId="4" xfId="1" applyNumberFormat="1" applyFont="1" applyFill="1" applyBorder="1" applyAlignment="1">
      <alignment horizontal="right" vertical="top" wrapText="1"/>
    </xf>
    <xf numFmtId="164" fontId="24" fillId="0" borderId="0" xfId="0" applyNumberFormat="1" applyFont="1" applyAlignment="1">
      <alignment horizontal="right" vertical="top" wrapText="1"/>
    </xf>
    <xf numFmtId="0" fontId="25" fillId="0" borderId="0" xfId="0" applyFont="1" applyAlignment="1">
      <alignment horizontal="left" wrapText="1"/>
    </xf>
    <xf numFmtId="0" fontId="23" fillId="0" borderId="0" xfId="0" applyFont="1" applyAlignment="1">
      <alignment vertical="top" wrapText="1"/>
    </xf>
    <xf numFmtId="0" fontId="28" fillId="0" borderId="0" xfId="0" applyFont="1" applyAlignment="1">
      <alignment horizontal="left" vertical="top" wrapText="1"/>
    </xf>
    <xf numFmtId="165" fontId="23" fillId="0" borderId="0" xfId="0" applyNumberFormat="1" applyFont="1" applyAlignment="1">
      <alignment horizontal="right" vertical="top" wrapText="1"/>
    </xf>
    <xf numFmtId="0" fontId="25" fillId="0" borderId="12" xfId="0" applyFont="1" applyBorder="1" applyAlignment="1">
      <alignment horizontal="left" vertical="top"/>
    </xf>
    <xf numFmtId="0" fontId="25" fillId="0" borderId="16" xfId="0" applyFont="1" applyBorder="1" applyAlignment="1">
      <alignment horizontal="left" vertical="top"/>
    </xf>
    <xf numFmtId="165" fontId="25" fillId="0" borderId="0" xfId="0" applyNumberFormat="1" applyFont="1" applyAlignment="1">
      <alignment horizontal="left" vertical="top"/>
    </xf>
    <xf numFmtId="165" fontId="23" fillId="0" borderId="0" xfId="1" applyNumberFormat="1" applyFont="1" applyBorder="1" applyAlignment="1">
      <alignment horizontal="right" vertical="top" wrapText="1"/>
    </xf>
    <xf numFmtId="0" fontId="7" fillId="0" borderId="0" xfId="0" applyFont="1"/>
    <xf numFmtId="0" fontId="22" fillId="0" borderId="0" xfId="0" applyFont="1"/>
    <xf numFmtId="0" fontId="29" fillId="0" borderId="15" xfId="0" applyFont="1" applyBorder="1" applyAlignment="1">
      <alignment horizontal="center" vertical="center"/>
    </xf>
    <xf numFmtId="0" fontId="29" fillId="0" borderId="15" xfId="0" applyFont="1" applyBorder="1" applyAlignment="1">
      <alignment horizontal="center"/>
    </xf>
    <xf numFmtId="0" fontId="22" fillId="0" borderId="16" xfId="0" applyFont="1" applyBorder="1"/>
    <xf numFmtId="0" fontId="30" fillId="0" borderId="0" xfId="0" applyFont="1" applyAlignment="1">
      <alignment horizontal="left"/>
    </xf>
    <xf numFmtId="0" fontId="29" fillId="0" borderId="0" xfId="0" applyFont="1" applyAlignment="1">
      <alignment horizontal="left"/>
    </xf>
    <xf numFmtId="0" fontId="29" fillId="0" borderId="0" xfId="0" applyFont="1" applyAlignment="1">
      <alignment horizontal="center"/>
    </xf>
    <xf numFmtId="165" fontId="29" fillId="0" borderId="0" xfId="0" applyNumberFormat="1" applyFont="1"/>
    <xf numFmtId="3" fontId="31" fillId="0" borderId="33" xfId="0" applyNumberFormat="1" applyFont="1" applyBorder="1"/>
    <xf numFmtId="165" fontId="31" fillId="0" borderId="33" xfId="0" applyNumberFormat="1" applyFont="1" applyBorder="1" applyAlignment="1">
      <alignment horizontal="center"/>
    </xf>
    <xf numFmtId="165" fontId="31" fillId="0" borderId="43" xfId="0" applyNumberFormat="1" applyFont="1" applyBorder="1"/>
    <xf numFmtId="3" fontId="22" fillId="0" borderId="0" xfId="0" applyNumberFormat="1" applyFont="1"/>
    <xf numFmtId="0" fontId="13" fillId="0" borderId="3" xfId="0" applyFont="1" applyBorder="1" applyAlignment="1">
      <alignment vertical="top"/>
    </xf>
    <xf numFmtId="0" fontId="13" fillId="0" borderId="15" xfId="0" applyFont="1" applyBorder="1" applyAlignment="1">
      <alignment vertical="top"/>
    </xf>
    <xf numFmtId="0" fontId="11" fillId="0" borderId="1" xfId="0" applyFont="1" applyBorder="1" applyAlignment="1">
      <alignment horizontal="right" vertical="top" wrapText="1"/>
    </xf>
    <xf numFmtId="0" fontId="13" fillId="0" borderId="4" xfId="0" applyFont="1" applyBorder="1" applyAlignment="1">
      <alignment horizontal="center" vertical="top"/>
    </xf>
    <xf numFmtId="165" fontId="13" fillId="0" borderId="6" xfId="1" applyNumberFormat="1" applyFont="1" applyBorder="1" applyAlignment="1">
      <alignment vertical="top"/>
    </xf>
    <xf numFmtId="165" fontId="13" fillId="0" borderId="27" xfId="1" applyNumberFormat="1" applyFont="1" applyBorder="1" applyAlignment="1">
      <alignment vertical="top"/>
    </xf>
    <xf numFmtId="0" fontId="13" fillId="0" borderId="11" xfId="0" applyFont="1" applyBorder="1" applyAlignment="1">
      <alignment horizontal="center" vertical="top"/>
    </xf>
    <xf numFmtId="165" fontId="13" fillId="0" borderId="11" xfId="1" applyNumberFormat="1" applyFont="1" applyFill="1" applyBorder="1" applyAlignment="1">
      <alignment vertical="top"/>
    </xf>
    <xf numFmtId="165" fontId="13" fillId="0" borderId="4" xfId="1" applyNumberFormat="1" applyFont="1" applyFill="1" applyBorder="1" applyAlignment="1">
      <alignment vertical="top"/>
    </xf>
    <xf numFmtId="165" fontId="13" fillId="0" borderId="0" xfId="1" applyNumberFormat="1" applyFont="1" applyFill="1" applyAlignment="1">
      <alignment vertical="top"/>
    </xf>
    <xf numFmtId="165" fontId="13" fillId="0" borderId="8" xfId="1" applyNumberFormat="1" applyFont="1" applyFill="1" applyBorder="1" applyAlignment="1">
      <alignment vertical="top"/>
    </xf>
    <xf numFmtId="165" fontId="13" fillId="0" borderId="4" xfId="1" applyNumberFormat="1" applyFont="1" applyBorder="1" applyAlignment="1">
      <alignment vertical="top"/>
    </xf>
    <xf numFmtId="0" fontId="13" fillId="0" borderId="1" xfId="0" applyFont="1" applyBorder="1" applyAlignment="1">
      <alignment vertical="top"/>
    </xf>
    <xf numFmtId="165" fontId="11" fillId="0" borderId="11" xfId="1" applyNumberFormat="1" applyFont="1" applyFill="1" applyBorder="1" applyAlignment="1">
      <alignment vertical="top"/>
    </xf>
    <xf numFmtId="165" fontId="11" fillId="0" borderId="1" xfId="1" applyNumberFormat="1" applyFont="1" applyFill="1" applyBorder="1" applyAlignment="1">
      <alignment vertical="top"/>
    </xf>
    <xf numFmtId="165" fontId="11" fillId="0" borderId="15" xfId="1" applyNumberFormat="1" applyFont="1" applyFill="1" applyBorder="1" applyAlignment="1">
      <alignment vertical="top"/>
    </xf>
    <xf numFmtId="165" fontId="11" fillId="0" borderId="3" xfId="1" applyNumberFormat="1" applyFont="1" applyFill="1" applyBorder="1" applyAlignment="1">
      <alignment vertical="top"/>
    </xf>
    <xf numFmtId="0" fontId="13" fillId="0" borderId="0" xfId="0" applyFont="1" applyAlignment="1">
      <alignment vertical="top"/>
    </xf>
    <xf numFmtId="165" fontId="11" fillId="0" borderId="16" xfId="0" applyNumberFormat="1" applyFont="1" applyBorder="1" applyAlignment="1">
      <alignment vertical="top"/>
    </xf>
    <xf numFmtId="165" fontId="11" fillId="0" borderId="0" xfId="0" applyNumberFormat="1" applyFont="1" applyAlignment="1">
      <alignment vertical="top"/>
    </xf>
    <xf numFmtId="2" fontId="11" fillId="0" borderId="0" xfId="0" applyNumberFormat="1" applyFont="1" applyAlignment="1">
      <alignment horizontal="left"/>
    </xf>
    <xf numFmtId="0" fontId="32" fillId="0" borderId="0" xfId="0" applyFont="1"/>
    <xf numFmtId="165" fontId="13" fillId="0" borderId="0" xfId="1" applyNumberFormat="1" applyFont="1" applyAlignment="1">
      <alignment vertical="top"/>
    </xf>
    <xf numFmtId="165" fontId="11" fillId="0" borderId="1" xfId="1" applyNumberFormat="1" applyFont="1" applyFill="1" applyBorder="1"/>
    <xf numFmtId="165" fontId="11" fillId="0" borderId="15" xfId="1" applyNumberFormat="1" applyFont="1" applyFill="1" applyBorder="1"/>
    <xf numFmtId="3" fontId="33" fillId="0" borderId="34" xfId="0" applyNumberFormat="1" applyFont="1" applyBorder="1"/>
    <xf numFmtId="0" fontId="33" fillId="0" borderId="0" xfId="0" applyFont="1"/>
    <xf numFmtId="3" fontId="33" fillId="0" borderId="0" xfId="0" applyNumberFormat="1" applyFont="1"/>
    <xf numFmtId="2" fontId="11" fillId="0" borderId="1" xfId="0" applyNumberFormat="1" applyFont="1" applyBorder="1" applyAlignment="1">
      <alignment horizontal="right" vertical="top" wrapText="1"/>
    </xf>
    <xf numFmtId="0" fontId="13" fillId="0" borderId="7" xfId="0" applyFont="1" applyBorder="1"/>
    <xf numFmtId="165" fontId="13" fillId="0" borderId="4" xfId="1" applyNumberFormat="1" applyFont="1" applyBorder="1"/>
    <xf numFmtId="165" fontId="11" fillId="0" borderId="1" xfId="0" applyNumberFormat="1" applyFont="1" applyBorder="1" applyAlignment="1">
      <alignment horizontal="right" vertical="top" wrapText="1"/>
    </xf>
    <xf numFmtId="165" fontId="11" fillId="0" borderId="7" xfId="0" applyNumberFormat="1" applyFont="1" applyBorder="1" applyAlignment="1">
      <alignment horizontal="right" vertical="top" wrapText="1"/>
    </xf>
    <xf numFmtId="165" fontId="11" fillId="0" borderId="6" xfId="1" applyNumberFormat="1" applyFont="1" applyFill="1" applyBorder="1" applyAlignment="1">
      <alignment horizontal="right" vertical="top" wrapText="1"/>
    </xf>
    <xf numFmtId="165" fontId="11" fillId="0" borderId="1" xfId="1" applyNumberFormat="1" applyFont="1" applyFill="1" applyBorder="1" applyAlignment="1">
      <alignment horizontal="right" vertical="top" wrapText="1"/>
    </xf>
    <xf numFmtId="0" fontId="11" fillId="0" borderId="16" xfId="0" applyFont="1" applyBorder="1" applyAlignment="1">
      <alignment horizontal="center" vertical="top" wrapText="1"/>
    </xf>
    <xf numFmtId="0" fontId="13" fillId="0" borderId="0" xfId="0" applyFont="1" applyAlignment="1">
      <alignment vertical="top" wrapText="1"/>
    </xf>
    <xf numFmtId="165" fontId="13" fillId="0" borderId="0" xfId="0" applyNumberFormat="1" applyFont="1" applyAlignment="1">
      <alignment horizontal="right" vertical="top" wrapText="1"/>
    </xf>
    <xf numFmtId="0" fontId="29" fillId="0" borderId="15" xfId="0" applyFont="1" applyBorder="1" applyAlignment="1">
      <alignment horizontal="left"/>
    </xf>
    <xf numFmtId="165" fontId="13" fillId="0" borderId="7" xfId="1" applyNumberFormat="1" applyFont="1" applyBorder="1"/>
    <xf numFmtId="0" fontId="11" fillId="0" borderId="1" xfId="0" applyFont="1" applyBorder="1" applyAlignment="1">
      <alignment horizontal="center" vertical="top" wrapText="1"/>
    </xf>
    <xf numFmtId="0" fontId="11" fillId="0" borderId="3" xfId="0" applyFont="1" applyBorder="1" applyAlignment="1">
      <alignment vertical="top" wrapText="1"/>
    </xf>
    <xf numFmtId="0" fontId="13" fillId="0" borderId="2" xfId="0" applyFont="1" applyBorder="1"/>
    <xf numFmtId="0" fontId="13" fillId="0" borderId="8" xfId="0" applyFont="1" applyBorder="1"/>
    <xf numFmtId="0" fontId="34" fillId="0" borderId="27" xfId="0" applyFont="1" applyBorder="1" applyAlignment="1">
      <alignment vertical="top" wrapText="1"/>
    </xf>
    <xf numFmtId="0" fontId="13" fillId="0" borderId="6" xfId="0" applyFont="1" applyBorder="1"/>
    <xf numFmtId="0" fontId="11" fillId="0" borderId="8" xfId="0" applyFont="1" applyBorder="1" applyAlignment="1">
      <alignment horizontal="left" vertical="top" wrapText="1"/>
    </xf>
    <xf numFmtId="0" fontId="13" fillId="0" borderId="4" xfId="0" applyFont="1" applyBorder="1"/>
    <xf numFmtId="0" fontId="19" fillId="0" borderId="8" xfId="0" applyFont="1" applyBorder="1" applyAlignment="1">
      <alignment horizontal="left"/>
    </xf>
    <xf numFmtId="0" fontId="19" fillId="0" borderId="0" xfId="0" applyFont="1" applyAlignment="1">
      <alignment horizontal="left"/>
    </xf>
    <xf numFmtId="165" fontId="19" fillId="0" borderId="4" xfId="0" applyNumberFormat="1" applyFont="1" applyBorder="1" applyAlignment="1">
      <alignment horizontal="right"/>
    </xf>
    <xf numFmtId="165" fontId="19" fillId="0" borderId="6" xfId="0" applyNumberFormat="1" applyFont="1" applyBorder="1" applyAlignment="1">
      <alignment horizontal="right"/>
    </xf>
    <xf numFmtId="0" fontId="15" fillId="0" borderId="8" xfId="0" applyFont="1" applyBorder="1" applyAlignment="1">
      <alignment horizontal="left"/>
    </xf>
    <xf numFmtId="0" fontId="15" fillId="0" borderId="0" xfId="0" applyFont="1" applyAlignment="1">
      <alignment horizontal="left"/>
    </xf>
    <xf numFmtId="0" fontId="16" fillId="0" borderId="7" xfId="0" applyFont="1" applyBorder="1" applyAlignment="1">
      <alignment horizontal="left"/>
    </xf>
    <xf numFmtId="165" fontId="19" fillId="0" borderId="4" xfId="0" applyNumberFormat="1" applyFont="1" applyBorder="1"/>
    <xf numFmtId="0" fontId="33" fillId="0" borderId="8" xfId="0" applyFont="1" applyBorder="1"/>
    <xf numFmtId="0" fontId="7" fillId="0" borderId="3" xfId="0" applyFont="1" applyBorder="1" applyAlignment="1">
      <alignment horizontal="left"/>
    </xf>
    <xf numFmtId="0" fontId="7" fillId="0" borderId="15" xfId="0" applyFont="1" applyBorder="1" applyAlignment="1">
      <alignment horizontal="left"/>
    </xf>
    <xf numFmtId="0" fontId="7" fillId="0" borderId="15" xfId="0" applyFont="1" applyBorder="1" applyAlignment="1">
      <alignment horizontal="center"/>
    </xf>
    <xf numFmtId="165" fontId="7" fillId="0" borderId="1" xfId="0" applyNumberFormat="1" applyFont="1" applyBorder="1"/>
    <xf numFmtId="0" fontId="7" fillId="0" borderId="3" xfId="0" applyFont="1" applyBorder="1" applyAlignment="1">
      <alignment horizontal="left" vertical="center"/>
    </xf>
    <xf numFmtId="0" fontId="7" fillId="0" borderId="15" xfId="0" applyFont="1" applyBorder="1" applyAlignment="1">
      <alignment horizontal="center" vertical="center"/>
    </xf>
    <xf numFmtId="168" fontId="7" fillId="0" borderId="1" xfId="0" applyNumberFormat="1" applyFont="1" applyBorder="1" applyAlignment="1">
      <alignment horizontal="right"/>
    </xf>
    <xf numFmtId="0" fontId="9" fillId="0" borderId="0" xfId="0" applyFont="1" applyAlignment="1">
      <alignment horizontal="left" vertical="top" wrapText="1"/>
    </xf>
    <xf numFmtId="0" fontId="13" fillId="0" borderId="0" xfId="0" applyFont="1" applyAlignment="1">
      <alignment horizontal="left" vertical="top"/>
    </xf>
    <xf numFmtId="0" fontId="11" fillId="0" borderId="1" xfId="0" applyFont="1" applyBorder="1" applyAlignment="1">
      <alignment horizontal="center" vertical="top"/>
    </xf>
    <xf numFmtId="0" fontId="11" fillId="0" borderId="4" xfId="0" applyFont="1" applyBorder="1" applyAlignment="1">
      <alignment horizontal="center" vertical="center" wrapText="1"/>
    </xf>
    <xf numFmtId="166" fontId="11" fillId="0" borderId="4" xfId="0" applyNumberFormat="1" applyFont="1" applyBorder="1" applyAlignment="1">
      <alignment vertical="center" wrapText="1"/>
    </xf>
    <xf numFmtId="166" fontId="11" fillId="0" borderId="11" xfId="0" applyNumberFormat="1" applyFont="1" applyBorder="1" applyAlignment="1">
      <alignment vertical="center" wrapText="1"/>
    </xf>
    <xf numFmtId="0" fontId="11" fillId="0" borderId="27" xfId="0" applyFont="1" applyBorder="1" applyAlignment="1">
      <alignment vertical="top"/>
    </xf>
    <xf numFmtId="165" fontId="11" fillId="0" borderId="27" xfId="0" applyNumberFormat="1" applyFont="1" applyBorder="1" applyAlignment="1">
      <alignment vertical="top" wrapText="1"/>
    </xf>
    <xf numFmtId="165" fontId="11" fillId="0" borderId="6" xfId="0" applyNumberFormat="1" applyFont="1" applyBorder="1" applyAlignment="1">
      <alignment vertical="top" wrapText="1"/>
    </xf>
    <xf numFmtId="0" fontId="13" fillId="0" borderId="8" xfId="0" applyFont="1" applyBorder="1" applyAlignment="1">
      <alignment horizontal="left" vertical="top" wrapText="1"/>
    </xf>
    <xf numFmtId="165" fontId="13" fillId="0" borderId="4" xfId="1" applyNumberFormat="1" applyFont="1" applyFill="1" applyBorder="1" applyAlignment="1"/>
    <xf numFmtId="165" fontId="13" fillId="0" borderId="7" xfId="0" applyNumberFormat="1" applyFont="1" applyBorder="1" applyAlignment="1">
      <alignment vertical="top" wrapText="1"/>
    </xf>
    <xf numFmtId="165" fontId="13" fillId="0" borderId="4" xfId="0" applyNumberFormat="1" applyFont="1" applyBorder="1" applyAlignment="1">
      <alignment vertical="center" wrapText="1"/>
    </xf>
    <xf numFmtId="165" fontId="13" fillId="0" borderId="4" xfId="0" applyNumberFormat="1" applyFont="1" applyBorder="1" applyAlignment="1">
      <alignment horizontal="right"/>
    </xf>
    <xf numFmtId="165" fontId="13" fillId="0" borderId="0" xfId="0" applyNumberFormat="1" applyFont="1" applyAlignment="1">
      <alignment wrapText="1"/>
    </xf>
    <xf numFmtId="165" fontId="13" fillId="0" borderId="7" xfId="0" applyNumberFormat="1" applyFont="1" applyBorder="1" applyAlignment="1">
      <alignment horizontal="right"/>
    </xf>
    <xf numFmtId="165" fontId="13" fillId="0" borderId="11" xfId="0" applyNumberFormat="1" applyFont="1" applyBorder="1" applyAlignment="1">
      <alignment horizontal="right"/>
    </xf>
    <xf numFmtId="165" fontId="13" fillId="0" borderId="0" xfId="0" applyNumberFormat="1" applyFont="1" applyAlignment="1">
      <alignment horizontal="right"/>
    </xf>
    <xf numFmtId="0" fontId="11" fillId="0" borderId="1" xfId="0" applyFont="1" applyBorder="1" applyAlignment="1">
      <alignment horizontal="left" vertical="top" wrapText="1"/>
    </xf>
    <xf numFmtId="165" fontId="11" fillId="0" borderId="1" xfId="0" applyNumberFormat="1" applyFont="1" applyBorder="1" applyAlignment="1">
      <alignment wrapText="1"/>
    </xf>
    <xf numFmtId="165" fontId="11" fillId="0" borderId="2" xfId="0" applyNumberFormat="1" applyFont="1" applyBorder="1" applyAlignment="1">
      <alignment wrapText="1"/>
    </xf>
    <xf numFmtId="165" fontId="11" fillId="0" borderId="15" xfId="0" applyNumberFormat="1" applyFont="1" applyBorder="1" applyAlignment="1">
      <alignment wrapText="1"/>
    </xf>
    <xf numFmtId="0" fontId="13" fillId="0" borderId="3" xfId="0" applyFont="1" applyBorder="1"/>
    <xf numFmtId="165" fontId="13" fillId="0" borderId="0" xfId="0" applyNumberFormat="1" applyFont="1"/>
    <xf numFmtId="165" fontId="13" fillId="0" borderId="7" xfId="0" applyNumberFormat="1" applyFont="1" applyBorder="1"/>
    <xf numFmtId="0" fontId="11" fillId="0" borderId="3" xfId="0" applyFont="1" applyBorder="1" applyAlignment="1">
      <alignment vertical="top"/>
    </xf>
    <xf numFmtId="165" fontId="13" fillId="0" borderId="3" xfId="0" applyNumberFormat="1" applyFont="1" applyBorder="1"/>
    <xf numFmtId="165" fontId="13" fillId="0" borderId="15" xfId="0" applyNumberFormat="1" applyFont="1" applyBorder="1"/>
    <xf numFmtId="165" fontId="13" fillId="0" borderId="2" xfId="0" applyNumberFormat="1" applyFont="1" applyBorder="1"/>
    <xf numFmtId="165" fontId="13" fillId="0" borderId="27" xfId="0" applyNumberFormat="1" applyFont="1" applyBorder="1" applyAlignment="1">
      <alignment horizontal="right"/>
    </xf>
    <xf numFmtId="165" fontId="13" fillId="0" borderId="6" xfId="0" applyNumberFormat="1" applyFont="1" applyBorder="1" applyAlignment="1">
      <alignment horizontal="right"/>
    </xf>
    <xf numFmtId="165" fontId="13" fillId="0" borderId="8" xfId="0" applyNumberFormat="1" applyFont="1" applyBorder="1" applyAlignment="1">
      <alignment vertical="top" wrapText="1"/>
    </xf>
    <xf numFmtId="165" fontId="13" fillId="0" borderId="4" xfId="0" applyNumberFormat="1" applyFont="1" applyBorder="1" applyAlignment="1">
      <alignment vertical="top" wrapText="1"/>
    </xf>
    <xf numFmtId="165" fontId="13" fillId="0" borderId="0" xfId="0" applyNumberFormat="1" applyFont="1" applyAlignment="1">
      <alignment vertical="center" wrapText="1"/>
    </xf>
    <xf numFmtId="165" fontId="13" fillId="0" borderId="14" xfId="0" applyNumberFormat="1" applyFont="1" applyBorder="1" applyAlignment="1">
      <alignment horizontal="right"/>
    </xf>
    <xf numFmtId="165" fontId="13" fillId="0" borderId="12" xfId="0" applyNumberFormat="1" applyFont="1" applyBorder="1" applyAlignment="1">
      <alignment horizontal="right"/>
    </xf>
    <xf numFmtId="0" fontId="11" fillId="0" borderId="38" xfId="0" applyFont="1" applyBorder="1" applyAlignment="1">
      <alignment horizontal="left" vertical="top" wrapText="1"/>
    </xf>
    <xf numFmtId="165" fontId="11" fillId="0" borderId="28" xfId="0" applyNumberFormat="1" applyFont="1" applyBorder="1" applyAlignment="1">
      <alignment wrapText="1"/>
    </xf>
    <xf numFmtId="165" fontId="11" fillId="0" borderId="42" xfId="0" applyNumberFormat="1" applyFont="1" applyBorder="1" applyAlignment="1">
      <alignment wrapText="1"/>
    </xf>
    <xf numFmtId="0" fontId="11" fillId="0" borderId="14" xfId="0" applyFont="1" applyBorder="1" applyAlignment="1">
      <alignment vertical="top"/>
    </xf>
    <xf numFmtId="165" fontId="11" fillId="0" borderId="1" xfId="0" applyNumberFormat="1" applyFont="1" applyBorder="1"/>
    <xf numFmtId="0" fontId="11" fillId="0" borderId="1" xfId="0" applyFont="1" applyBorder="1" applyAlignment="1">
      <alignment vertical="top"/>
    </xf>
    <xf numFmtId="0" fontId="11" fillId="0" borderId="11" xfId="0" applyFont="1" applyBorder="1" applyAlignment="1">
      <alignment horizontal="center" vertical="center" wrapText="1"/>
    </xf>
    <xf numFmtId="0" fontId="11" fillId="0" borderId="6" xfId="0" applyFont="1" applyBorder="1" applyAlignment="1">
      <alignment vertical="top"/>
    </xf>
    <xf numFmtId="165" fontId="13" fillId="0" borderId="5" xfId="0" applyNumberFormat="1" applyFont="1" applyBorder="1" applyAlignment="1">
      <alignment vertical="top" wrapText="1"/>
    </xf>
    <xf numFmtId="165" fontId="13" fillId="0" borderId="6" xfId="0" applyNumberFormat="1" applyFont="1" applyBorder="1" applyAlignment="1">
      <alignment vertical="top" wrapText="1"/>
    </xf>
    <xf numFmtId="165" fontId="13" fillId="0" borderId="6" xfId="0" applyNumberFormat="1" applyFont="1" applyBorder="1" applyAlignment="1">
      <alignment vertical="center" wrapText="1"/>
    </xf>
    <xf numFmtId="165" fontId="13" fillId="0" borderId="16" xfId="0" applyNumberFormat="1" applyFont="1" applyBorder="1" applyAlignment="1">
      <alignment wrapText="1"/>
    </xf>
    <xf numFmtId="0" fontId="11" fillId="0" borderId="3" xfId="0" applyFont="1" applyBorder="1" applyAlignment="1">
      <alignment horizontal="left" vertical="top" wrapText="1"/>
    </xf>
    <xf numFmtId="165" fontId="11" fillId="0" borderId="16" xfId="0" applyNumberFormat="1" applyFont="1" applyBorder="1" applyAlignment="1">
      <alignment wrapText="1"/>
    </xf>
    <xf numFmtId="165" fontId="11" fillId="0" borderId="5" xfId="0" applyNumberFormat="1" applyFont="1" applyBorder="1" applyAlignment="1">
      <alignment wrapText="1"/>
    </xf>
    <xf numFmtId="165" fontId="13" fillId="0" borderId="16" xfId="0" applyNumberFormat="1" applyFont="1" applyBorder="1"/>
    <xf numFmtId="165" fontId="13" fillId="0" borderId="5" xfId="0" applyNumberFormat="1" applyFont="1" applyBorder="1"/>
    <xf numFmtId="165" fontId="13" fillId="0" borderId="16" xfId="0" applyNumberFormat="1" applyFont="1" applyBorder="1" applyAlignment="1">
      <alignment horizontal="right"/>
    </xf>
    <xf numFmtId="165" fontId="13" fillId="0" borderId="13" xfId="0" applyNumberFormat="1" applyFont="1" applyBorder="1" applyAlignment="1">
      <alignment horizontal="right"/>
    </xf>
    <xf numFmtId="165" fontId="11" fillId="0" borderId="0" xfId="0" applyNumberFormat="1" applyFont="1" applyAlignment="1">
      <alignment wrapText="1"/>
    </xf>
    <xf numFmtId="165" fontId="11" fillId="0" borderId="7" xfId="0" applyNumberFormat="1" applyFont="1" applyBorder="1" applyAlignment="1">
      <alignment wrapText="1"/>
    </xf>
    <xf numFmtId="0" fontId="35" fillId="0" borderId="0" xfId="0" applyFont="1"/>
    <xf numFmtId="0" fontId="36" fillId="0" borderId="0" xfId="0" applyFont="1" applyAlignment="1">
      <alignment vertical="top" wrapText="1"/>
    </xf>
    <xf numFmtId="0" fontId="11" fillId="0" borderId="0" xfId="0" applyFont="1" applyAlignment="1">
      <alignment horizontal="center"/>
    </xf>
    <xf numFmtId="2" fontId="11" fillId="0" borderId="0" xfId="0" applyNumberFormat="1" applyFont="1" applyAlignment="1">
      <alignment horizontal="left" vertical="center"/>
    </xf>
    <xf numFmtId="0" fontId="13" fillId="0" borderId="0" xfId="0" applyFont="1" applyAlignment="1">
      <alignment horizontal="left" vertical="top" wrapText="1"/>
    </xf>
    <xf numFmtId="0" fontId="11" fillId="0" borderId="3" xfId="0" applyFont="1" applyBorder="1" applyAlignment="1">
      <alignment wrapText="1"/>
    </xf>
    <xf numFmtId="0" fontId="11" fillId="0" borderId="1" xfId="0" applyFont="1" applyBorder="1" applyAlignment="1">
      <alignment horizontal="center" vertical="center" wrapText="1"/>
    </xf>
    <xf numFmtId="165" fontId="13" fillId="0" borderId="1" xfId="0" applyNumberFormat="1" applyFont="1" applyBorder="1"/>
    <xf numFmtId="0" fontId="11" fillId="0" borderId="13" xfId="0" applyFont="1" applyBorder="1" applyAlignment="1">
      <alignment vertical="top" wrapText="1"/>
    </xf>
    <xf numFmtId="0" fontId="11" fillId="0" borderId="11" xfId="0" applyFont="1" applyBorder="1" applyAlignment="1">
      <alignment vertical="top" wrapText="1"/>
    </xf>
    <xf numFmtId="1" fontId="11" fillId="0" borderId="1" xfId="0" applyNumberFormat="1" applyFont="1" applyBorder="1" applyAlignment="1">
      <alignment horizontal="left" vertical="top" shrinkToFit="1"/>
    </xf>
    <xf numFmtId="0" fontId="11" fillId="0" borderId="15" xfId="0" applyFont="1" applyBorder="1" applyAlignment="1">
      <alignment horizontal="left" vertical="top" wrapText="1"/>
    </xf>
    <xf numFmtId="0" fontId="11" fillId="0" borderId="2" xfId="0" applyFont="1" applyBorder="1" applyAlignment="1">
      <alignment horizontal="left" vertical="top" wrapText="1"/>
    </xf>
    <xf numFmtId="168" fontId="11" fillId="0" borderId="39" xfId="0" applyNumberFormat="1" applyFont="1" applyBorder="1" applyAlignment="1">
      <alignment horizontal="right" vertical="top" indent="1"/>
    </xf>
    <xf numFmtId="0" fontId="11" fillId="0" borderId="4" xfId="0" applyFont="1" applyBorder="1" applyAlignment="1">
      <alignment horizontal="right" vertical="top" wrapText="1" indent="1"/>
    </xf>
    <xf numFmtId="0" fontId="34" fillId="0" borderId="16" xfId="0" applyFont="1" applyBorder="1" applyAlignment="1">
      <alignment horizontal="left" vertical="top" wrapText="1"/>
    </xf>
    <xf numFmtId="0" fontId="34" fillId="0" borderId="5" xfId="0" applyFont="1" applyBorder="1" applyAlignment="1">
      <alignment horizontal="left" vertical="top" wrapText="1"/>
    </xf>
    <xf numFmtId="165" fontId="13" fillId="0" borderId="26" xfId="0" applyNumberFormat="1" applyFont="1" applyBorder="1" applyAlignment="1">
      <alignment horizontal="left" wrapText="1"/>
    </xf>
    <xf numFmtId="0" fontId="13" fillId="0" borderId="4" xfId="0" applyFont="1" applyBorder="1" applyAlignment="1">
      <alignment horizontal="right" vertical="top" wrapText="1" indent="1"/>
    </xf>
    <xf numFmtId="0" fontId="13" fillId="0" borderId="7" xfId="0" applyFont="1" applyBorder="1" applyAlignment="1">
      <alignment horizontal="left" vertical="top" wrapText="1"/>
    </xf>
    <xf numFmtId="0" fontId="13" fillId="0" borderId="4" xfId="0" applyFont="1" applyBorder="1" applyAlignment="1">
      <alignment horizontal="left" vertical="center" wrapText="1"/>
    </xf>
    <xf numFmtId="0" fontId="11" fillId="0" borderId="7" xfId="0" applyFont="1" applyBorder="1" applyAlignment="1">
      <alignment horizontal="left" vertical="top" wrapText="1"/>
    </xf>
    <xf numFmtId="0" fontId="34" fillId="0" borderId="0" xfId="0" applyFont="1" applyAlignment="1">
      <alignment horizontal="left" vertical="top" wrapText="1"/>
    </xf>
    <xf numFmtId="0" fontId="34" fillId="0" borderId="7" xfId="0" applyFont="1" applyBorder="1" applyAlignment="1">
      <alignment horizontal="left" vertical="top" wrapText="1"/>
    </xf>
    <xf numFmtId="165" fontId="13" fillId="0" borderId="4" xfId="0" applyNumberFormat="1" applyFont="1" applyBorder="1" applyAlignment="1">
      <alignment horizontal="right" vertical="top" wrapText="1"/>
    </xf>
    <xf numFmtId="0" fontId="13" fillId="0" borderId="11" xfId="0" applyFont="1" applyBorder="1" applyAlignment="1">
      <alignment horizontal="left" vertical="center" wrapText="1"/>
    </xf>
    <xf numFmtId="0" fontId="11" fillId="0" borderId="12" xfId="0" applyFont="1" applyBorder="1" applyAlignment="1">
      <alignment horizontal="left" vertical="top" wrapText="1"/>
    </xf>
    <xf numFmtId="0" fontId="11" fillId="0" borderId="13" xfId="0" applyFont="1" applyBorder="1" applyAlignment="1">
      <alignment horizontal="left" vertical="top" wrapText="1"/>
    </xf>
    <xf numFmtId="1" fontId="11" fillId="0" borderId="6" xfId="0" applyNumberFormat="1" applyFont="1" applyBorder="1" applyAlignment="1">
      <alignment horizontal="left" vertical="top" shrinkToFit="1"/>
    </xf>
    <xf numFmtId="0" fontId="11" fillId="0" borderId="27" xfId="0" applyFont="1" applyBorder="1" applyAlignment="1">
      <alignment horizontal="left" vertical="top" wrapText="1"/>
    </xf>
    <xf numFmtId="0" fontId="11" fillId="0" borderId="5" xfId="0" applyFont="1" applyBorder="1" applyAlignment="1">
      <alignment horizontal="left" vertical="top" wrapText="1"/>
    </xf>
    <xf numFmtId="0" fontId="13" fillId="0" borderId="11" xfId="0" applyFont="1" applyBorder="1"/>
    <xf numFmtId="0" fontId="13" fillId="0" borderId="14" xfId="0" applyFont="1" applyBorder="1"/>
    <xf numFmtId="0" fontId="13" fillId="0" borderId="13" xfId="0" applyFont="1" applyBorder="1"/>
    <xf numFmtId="0" fontId="11" fillId="0" borderId="27" xfId="0" applyFont="1" applyBorder="1"/>
    <xf numFmtId="0" fontId="13" fillId="0" borderId="16" xfId="0" applyFont="1" applyBorder="1"/>
    <xf numFmtId="168" fontId="11" fillId="0" borderId="6" xfId="0" applyNumberFormat="1" applyFont="1" applyBorder="1" applyAlignment="1">
      <alignment horizontal="right" vertical="top" shrinkToFit="1"/>
    </xf>
    <xf numFmtId="0" fontId="11" fillId="0" borderId="4" xfId="0" applyFont="1" applyBorder="1" applyAlignment="1">
      <alignment horizontal="left" vertical="top"/>
    </xf>
    <xf numFmtId="0" fontId="34" fillId="0" borderId="8" xfId="0" quotePrefix="1" applyFont="1" applyBorder="1" applyAlignment="1">
      <alignment vertical="top" wrapText="1"/>
    </xf>
    <xf numFmtId="0" fontId="13" fillId="0" borderId="4" xfId="0" applyFont="1" applyBorder="1" applyAlignment="1">
      <alignment vertical="top" wrapText="1"/>
    </xf>
    <xf numFmtId="165" fontId="13" fillId="0" borderId="4" xfId="0" applyNumberFormat="1" applyFont="1" applyBorder="1"/>
    <xf numFmtId="0" fontId="13" fillId="0" borderId="8" xfId="0" quotePrefix="1" applyFont="1" applyBorder="1" applyAlignment="1">
      <alignment vertical="top" wrapText="1"/>
    </xf>
    <xf numFmtId="0" fontId="13" fillId="0" borderId="4" xfId="0" applyFont="1" applyBorder="1" applyAlignment="1">
      <alignment horizontal="left" vertical="top"/>
    </xf>
    <xf numFmtId="0" fontId="11" fillId="0" borderId="4" xfId="0" applyFont="1" applyBorder="1"/>
    <xf numFmtId="0" fontId="34" fillId="0" borderId="8" xfId="0" applyFont="1" applyBorder="1"/>
    <xf numFmtId="0" fontId="13" fillId="0" borderId="0" xfId="0" quotePrefix="1" applyFont="1" applyAlignment="1">
      <alignment vertical="top" wrapText="1"/>
    </xf>
    <xf numFmtId="165" fontId="13" fillId="0" borderId="11" xfId="0" applyNumberFormat="1" applyFont="1" applyBorder="1"/>
    <xf numFmtId="0" fontId="13" fillId="0" borderId="11" xfId="0" applyFont="1" applyBorder="1" applyAlignment="1">
      <alignment horizontal="left" vertical="top"/>
    </xf>
    <xf numFmtId="0" fontId="11" fillId="0" borderId="14" xfId="0" applyFont="1" applyBorder="1" applyAlignment="1">
      <alignment vertical="top" wrapText="1"/>
    </xf>
    <xf numFmtId="0" fontId="11" fillId="0" borderId="13" xfId="0" applyFont="1" applyBorder="1" applyAlignment="1">
      <alignment horizontal="right" vertical="top" wrapText="1"/>
    </xf>
    <xf numFmtId="0" fontId="11" fillId="0" borderId="12" xfId="0" applyFont="1" applyBorder="1" applyAlignment="1">
      <alignment horizontal="right" vertical="top" wrapText="1"/>
    </xf>
    <xf numFmtId="0" fontId="37" fillId="0" borderId="33" xfId="0" applyFont="1" applyBorder="1"/>
    <xf numFmtId="0" fontId="21" fillId="0" borderId="33" xfId="0" applyFont="1" applyBorder="1"/>
    <xf numFmtId="0" fontId="20" fillId="0" borderId="0" xfId="0" applyFont="1"/>
    <xf numFmtId="0" fontId="20" fillId="0" borderId="34" xfId="0" applyFont="1" applyBorder="1" applyAlignment="1">
      <alignment horizontal="center"/>
    </xf>
    <xf numFmtId="2" fontId="20" fillId="0" borderId="34" xfId="0" applyNumberFormat="1" applyFont="1" applyBorder="1" applyAlignment="1">
      <alignment horizontal="center"/>
    </xf>
    <xf numFmtId="0" fontId="20" fillId="0" borderId="37" xfId="0" applyFont="1" applyBorder="1"/>
    <xf numFmtId="2" fontId="20" fillId="0" borderId="37" xfId="0" applyNumberFormat="1" applyFont="1" applyBorder="1" applyAlignment="1">
      <alignment horizontal="center" vertical="center"/>
    </xf>
    <xf numFmtId="0" fontId="20" fillId="0" borderId="43" xfId="0" applyFont="1" applyBorder="1"/>
    <xf numFmtId="0" fontId="20" fillId="0" borderId="44" xfId="0" applyFont="1" applyBorder="1"/>
    <xf numFmtId="2" fontId="20" fillId="0" borderId="44" xfId="0" applyNumberFormat="1" applyFont="1" applyBorder="1" applyAlignment="1">
      <alignment horizontal="center" vertical="center"/>
    </xf>
    <xf numFmtId="0" fontId="20" fillId="0" borderId="34" xfId="0" applyFont="1" applyBorder="1"/>
    <xf numFmtId="0" fontId="20" fillId="0" borderId="33" xfId="0" applyFont="1" applyBorder="1"/>
    <xf numFmtId="0" fontId="21" fillId="0" borderId="33" xfId="0" applyFont="1" applyBorder="1" applyAlignment="1">
      <alignment horizontal="left"/>
    </xf>
    <xf numFmtId="2" fontId="21" fillId="0" borderId="37" xfId="0" applyNumberFormat="1" applyFont="1" applyBorder="1"/>
    <xf numFmtId="164" fontId="21" fillId="0" borderId="33" xfId="17" applyFont="1" applyFill="1" applyBorder="1"/>
    <xf numFmtId="164" fontId="21" fillId="0" borderId="33" xfId="0" applyNumberFormat="1" applyFont="1" applyBorder="1"/>
    <xf numFmtId="164" fontId="37" fillId="0" borderId="33" xfId="0" applyNumberFormat="1" applyFont="1" applyBorder="1"/>
    <xf numFmtId="164" fontId="37" fillId="0" borderId="33" xfId="17" applyFont="1" applyFill="1" applyBorder="1"/>
    <xf numFmtId="164" fontId="20" fillId="0" borderId="33" xfId="0" applyNumberFormat="1" applyFont="1" applyBorder="1"/>
    <xf numFmtId="164" fontId="20" fillId="0" borderId="44" xfId="0" applyNumberFormat="1" applyFont="1" applyBorder="1"/>
    <xf numFmtId="164" fontId="20" fillId="0" borderId="44" xfId="17" applyFont="1" applyFill="1" applyBorder="1"/>
    <xf numFmtId="164" fontId="20" fillId="0" borderId="44" xfId="17" applyFont="1" applyFill="1" applyBorder="1" applyAlignment="1">
      <alignment horizontal="center"/>
    </xf>
    <xf numFmtId="0" fontId="9" fillId="0" borderId="0" xfId="0" applyFont="1"/>
    <xf numFmtId="1" fontId="9" fillId="0" borderId="1" xfId="0" applyNumberFormat="1" applyFont="1" applyBorder="1" applyAlignment="1">
      <alignment vertical="top" shrinkToFit="1"/>
    </xf>
    <xf numFmtId="0" fontId="9" fillId="0" borderId="3" xfId="0" applyFont="1" applyBorder="1" applyAlignment="1">
      <alignment horizontal="left" vertical="top" wrapText="1"/>
    </xf>
    <xf numFmtId="0" fontId="9" fillId="0" borderId="15" xfId="0" applyFont="1" applyBorder="1" applyAlignment="1">
      <alignment horizontal="left" vertical="top" wrapText="1"/>
    </xf>
    <xf numFmtId="168" fontId="9" fillId="0" borderId="1" xfId="0" applyNumberFormat="1" applyFont="1" applyBorder="1" applyAlignment="1">
      <alignment horizontal="center" vertical="center" wrapText="1"/>
    </xf>
    <xf numFmtId="0" fontId="12" fillId="0" borderId="8" xfId="0" applyFont="1" applyBorder="1" applyAlignment="1">
      <alignment vertical="top" wrapText="1"/>
    </xf>
    <xf numFmtId="0" fontId="12" fillId="0" borderId="19" xfId="0" applyFont="1" applyBorder="1" applyAlignment="1">
      <alignment horizontal="left" vertical="top" wrapText="1"/>
    </xf>
    <xf numFmtId="0" fontId="12" fillId="0" borderId="0" xfId="0" applyFont="1" applyAlignment="1">
      <alignment horizontal="left" vertical="top" wrapText="1"/>
    </xf>
    <xf numFmtId="0" fontId="13" fillId="0" borderId="14" xfId="0" applyFont="1" applyBorder="1" applyAlignment="1">
      <alignment wrapText="1"/>
    </xf>
    <xf numFmtId="0" fontId="12" fillId="0" borderId="28" xfId="0" applyFont="1" applyBorder="1" applyAlignment="1">
      <alignment horizontal="left" vertical="top" wrapText="1"/>
    </xf>
    <xf numFmtId="0" fontId="12" fillId="0" borderId="12" xfId="0" applyFont="1" applyBorder="1" applyAlignment="1">
      <alignment horizontal="left" vertical="top" wrapText="1"/>
    </xf>
    <xf numFmtId="0" fontId="13" fillId="0" borderId="12" xfId="0" applyFont="1" applyBorder="1" applyAlignment="1">
      <alignment wrapText="1"/>
    </xf>
    <xf numFmtId="165" fontId="9" fillId="0" borderId="1" xfId="0" applyNumberFormat="1" applyFont="1" applyBorder="1" applyAlignment="1">
      <alignment horizontal="center" vertical="center" wrapText="1"/>
    </xf>
    <xf numFmtId="0" fontId="9" fillId="0" borderId="8" xfId="0" applyFont="1" applyBorder="1" applyAlignment="1">
      <alignment horizontal="center" vertical="top" wrapText="1"/>
    </xf>
    <xf numFmtId="0" fontId="13" fillId="0" borderId="1" xfId="0" applyFont="1" applyBorder="1"/>
    <xf numFmtId="0" fontId="13" fillId="0" borderId="4" xfId="0" applyFont="1" applyBorder="1" applyAlignment="1">
      <alignment horizontal="center"/>
    </xf>
    <xf numFmtId="0" fontId="13" fillId="0" borderId="27" xfId="0" applyFont="1" applyBorder="1" applyAlignment="1">
      <alignment wrapText="1"/>
    </xf>
    <xf numFmtId="0" fontId="13" fillId="0" borderId="16" xfId="0" applyFont="1" applyBorder="1" applyAlignment="1">
      <alignment wrapText="1"/>
    </xf>
    <xf numFmtId="1" fontId="13" fillId="0" borderId="6" xfId="0" applyNumberFormat="1" applyFont="1" applyBorder="1" applyAlignment="1">
      <alignment horizontal="center" vertical="center"/>
    </xf>
    <xf numFmtId="1" fontId="13" fillId="0" borderId="4" xfId="0" applyNumberFormat="1" applyFont="1" applyBorder="1" applyAlignment="1">
      <alignment horizontal="center" vertical="center"/>
    </xf>
    <xf numFmtId="0" fontId="11" fillId="0" borderId="4" xfId="0" applyFont="1" applyBorder="1" applyAlignment="1">
      <alignment horizontal="center"/>
    </xf>
    <xf numFmtId="0" fontId="11" fillId="0" borderId="8" xfId="0" applyFont="1" applyBorder="1"/>
    <xf numFmtId="0" fontId="13" fillId="0" borderId="4" xfId="0" applyFont="1" applyBorder="1" applyAlignment="1">
      <alignment horizontal="center" vertical="center"/>
    </xf>
    <xf numFmtId="1" fontId="9" fillId="0" borderId="6" xfId="0" applyNumberFormat="1" applyFont="1" applyBorder="1" applyAlignment="1">
      <alignment vertical="top" shrinkToFit="1"/>
    </xf>
    <xf numFmtId="0" fontId="9" fillId="0" borderId="27" xfId="0" applyFont="1" applyBorder="1" applyAlignment="1">
      <alignment horizontal="left" vertical="top" wrapText="1"/>
    </xf>
    <xf numFmtId="0" fontId="9" fillId="0" borderId="5" xfId="0" applyFont="1" applyBorder="1" applyAlignment="1">
      <alignment horizontal="left" vertical="top" wrapText="1"/>
    </xf>
    <xf numFmtId="0" fontId="13" fillId="0" borderId="11" xfId="0" applyFont="1" applyBorder="1" applyAlignment="1">
      <alignment wrapText="1"/>
    </xf>
    <xf numFmtId="0" fontId="13" fillId="0" borderId="14" xfId="0" applyFont="1" applyBorder="1" applyAlignment="1">
      <alignment horizontal="left" wrapText="1"/>
    </xf>
    <xf numFmtId="165" fontId="13" fillId="0" borderId="13" xfId="0" applyNumberFormat="1" applyFont="1" applyBorder="1" applyAlignment="1">
      <alignment horizontal="left" wrapText="1"/>
    </xf>
    <xf numFmtId="0" fontId="13" fillId="0" borderId="12" xfId="0" applyFont="1" applyBorder="1" applyAlignment="1">
      <alignment horizontal="left" vertical="top"/>
    </xf>
    <xf numFmtId="1" fontId="9" fillId="0" borderId="1" xfId="0" applyNumberFormat="1" applyFont="1" applyBorder="1" applyAlignment="1">
      <alignment horizontal="right" vertical="top" shrinkToFit="1"/>
    </xf>
    <xf numFmtId="0" fontId="13" fillId="0" borderId="2" xfId="0" applyFont="1" applyBorder="1" applyAlignment="1">
      <alignment horizontal="left" vertical="top" wrapText="1"/>
    </xf>
    <xf numFmtId="0" fontId="12" fillId="0" borderId="22" xfId="0" applyFont="1" applyBorder="1" applyAlignment="1">
      <alignment horizontal="right" vertical="top" wrapText="1" indent="1"/>
    </xf>
    <xf numFmtId="0" fontId="12" fillId="0" borderId="19" xfId="0" applyFont="1" applyBorder="1" applyAlignment="1">
      <alignment horizontal="left" vertical="center" wrapText="1"/>
    </xf>
    <xf numFmtId="0" fontId="12" fillId="0" borderId="0" xfId="0" applyFont="1" applyAlignment="1">
      <alignment horizontal="left" vertical="center" wrapText="1"/>
    </xf>
    <xf numFmtId="0" fontId="13" fillId="0" borderId="23" xfId="0" applyFont="1" applyBorder="1" applyAlignment="1">
      <alignment horizontal="left" wrapText="1"/>
    </xf>
    <xf numFmtId="0" fontId="9" fillId="0" borderId="28" xfId="0" applyFont="1" applyBorder="1" applyAlignment="1">
      <alignment horizontal="left" vertical="top" wrapText="1"/>
    </xf>
    <xf numFmtId="0" fontId="9" fillId="0" borderId="13" xfId="0" applyFont="1" applyBorder="1" applyAlignment="1">
      <alignment horizontal="left" vertical="top" wrapText="1"/>
    </xf>
    <xf numFmtId="0" fontId="12" fillId="0" borderId="19" xfId="0" quotePrefix="1" applyFont="1" applyBorder="1" applyAlignment="1">
      <alignment horizontal="left" vertical="top" wrapText="1" indent="4"/>
    </xf>
    <xf numFmtId="0" fontId="13" fillId="0" borderId="8" xfId="0" applyFont="1" applyBorder="1" applyAlignment="1">
      <alignment wrapText="1"/>
    </xf>
    <xf numFmtId="1" fontId="9" fillId="0" borderId="1" xfId="0" applyNumberFormat="1" applyFont="1" applyBorder="1" applyAlignment="1">
      <alignment shrinkToFit="1"/>
    </xf>
    <xf numFmtId="0" fontId="9" fillId="0" borderId="3" xfId="0" applyFont="1" applyBorder="1" applyAlignment="1">
      <alignment horizontal="left" vertical="center" wrapText="1"/>
    </xf>
    <xf numFmtId="0" fontId="12" fillId="0" borderId="4" xfId="0" applyFont="1" applyBorder="1" applyAlignment="1">
      <alignment horizontal="right" vertical="top" wrapText="1" indent="1"/>
    </xf>
    <xf numFmtId="0" fontId="13" fillId="0" borderId="5" xfId="0" applyFont="1" applyBorder="1"/>
    <xf numFmtId="165" fontId="12" fillId="0" borderId="4" xfId="1" applyNumberFormat="1" applyFont="1" applyBorder="1"/>
    <xf numFmtId="0" fontId="12" fillId="0" borderId="8" xfId="0" quotePrefix="1" applyFont="1" applyBorder="1" applyAlignment="1">
      <alignment horizontal="left" vertical="top" wrapText="1"/>
    </xf>
    <xf numFmtId="0" fontId="13" fillId="0" borderId="11" xfId="0" applyFont="1" applyBorder="1" applyAlignment="1">
      <alignment horizontal="left" wrapText="1"/>
    </xf>
    <xf numFmtId="0" fontId="9" fillId="0" borderId="14" xfId="0" applyFont="1" applyBorder="1" applyAlignment="1">
      <alignment vertical="top" wrapText="1"/>
    </xf>
    <xf numFmtId="165" fontId="9" fillId="0" borderId="30" xfId="1" applyNumberFormat="1" applyFont="1" applyBorder="1" applyAlignment="1">
      <alignment horizontal="right" vertical="top" wrapText="1"/>
    </xf>
    <xf numFmtId="0" fontId="9" fillId="0" borderId="1" xfId="0" applyFont="1" applyBorder="1" applyAlignment="1">
      <alignment horizontal="right" vertical="top" wrapText="1"/>
    </xf>
    <xf numFmtId="0" fontId="9" fillId="0" borderId="3" xfId="0" applyFont="1" applyBorder="1" applyAlignment="1">
      <alignment vertical="top" wrapText="1"/>
    </xf>
    <xf numFmtId="0" fontId="9" fillId="0" borderId="2" xfId="0" applyFont="1" applyBorder="1" applyAlignment="1">
      <alignment vertical="top" wrapText="1"/>
    </xf>
    <xf numFmtId="0" fontId="9" fillId="0" borderId="8" xfId="0" applyFont="1" applyBorder="1" applyAlignment="1">
      <alignment vertical="top" wrapText="1"/>
    </xf>
    <xf numFmtId="0" fontId="12" fillId="0" borderId="19" xfId="0" applyFont="1" applyBorder="1" applyAlignment="1">
      <alignment vertical="top" wrapText="1"/>
    </xf>
    <xf numFmtId="0" fontId="13" fillId="0" borderId="23" xfId="0" applyFont="1" applyBorder="1" applyAlignment="1">
      <alignment vertical="top" wrapText="1"/>
    </xf>
    <xf numFmtId="0" fontId="9" fillId="0" borderId="28" xfId="0" applyFont="1" applyBorder="1" applyAlignment="1">
      <alignment vertical="top" wrapText="1"/>
    </xf>
    <xf numFmtId="0" fontId="9" fillId="0" borderId="13" xfId="0" applyFont="1" applyBorder="1" applyAlignment="1">
      <alignment vertical="top" wrapText="1"/>
    </xf>
    <xf numFmtId="1" fontId="9" fillId="0" borderId="8" xfId="0" applyNumberFormat="1" applyFont="1" applyBorder="1" applyAlignment="1">
      <alignment horizontal="left" vertical="top" shrinkToFit="1"/>
    </xf>
    <xf numFmtId="0" fontId="12" fillId="0" borderId="8" xfId="0" applyFont="1" applyBorder="1" applyAlignment="1">
      <alignment horizontal="left" vertical="top" wrapText="1"/>
    </xf>
    <xf numFmtId="0" fontId="12" fillId="0" borderId="8" xfId="0" applyFont="1" applyBorder="1"/>
    <xf numFmtId="0" fontId="11" fillId="0" borderId="0" xfId="0" applyFont="1" applyAlignment="1">
      <alignment horizontal="left"/>
    </xf>
    <xf numFmtId="0" fontId="34" fillId="0" borderId="0" xfId="0" applyFont="1"/>
    <xf numFmtId="0" fontId="13" fillId="0" borderId="4" xfId="0" applyFont="1" applyBorder="1" applyAlignment="1">
      <alignment horizontal="right" vertical="center"/>
    </xf>
    <xf numFmtId="0" fontId="13" fillId="0" borderId="0" xfId="0" applyFont="1" applyAlignment="1">
      <alignment wrapText="1"/>
    </xf>
    <xf numFmtId="0" fontId="13" fillId="0" borderId="11" xfId="0" applyFont="1" applyBorder="1" applyAlignment="1">
      <alignment horizontal="center"/>
    </xf>
    <xf numFmtId="0" fontId="11" fillId="0" borderId="0" xfId="0" applyFont="1" applyAlignment="1">
      <alignment horizontal="right"/>
    </xf>
    <xf numFmtId="0" fontId="13" fillId="0" borderId="0" xfId="0" applyFont="1" applyAlignment="1">
      <alignment horizontal="left"/>
    </xf>
    <xf numFmtId="0" fontId="11" fillId="0" borderId="3" xfId="0" applyFont="1" applyBorder="1"/>
    <xf numFmtId="0" fontId="11" fillId="0" borderId="2" xfId="0" applyFont="1" applyBorder="1"/>
    <xf numFmtId="0" fontId="13" fillId="0" borderId="1" xfId="0" applyFont="1" applyBorder="1" applyAlignment="1">
      <alignment horizontal="center"/>
    </xf>
    <xf numFmtId="0" fontId="11" fillId="0" borderId="5" xfId="0" applyFont="1" applyBorder="1"/>
    <xf numFmtId="0" fontId="13" fillId="0" borderId="6" xfId="0" applyFont="1" applyBorder="1" applyAlignment="1">
      <alignment horizontal="center"/>
    </xf>
    <xf numFmtId="0" fontId="13" fillId="0" borderId="8" xfId="0" applyFont="1" applyBorder="1" applyAlignment="1">
      <alignment horizontal="center"/>
    </xf>
    <xf numFmtId="0" fontId="34" fillId="0" borderId="8" xfId="0" applyFont="1" applyBorder="1" applyAlignment="1">
      <alignment vertical="top" wrapText="1"/>
    </xf>
    <xf numFmtId="0" fontId="13" fillId="0" borderId="8" xfId="0" applyFont="1" applyBorder="1" applyAlignment="1">
      <alignment horizontal="center" vertical="top" wrapText="1"/>
    </xf>
    <xf numFmtId="0" fontId="13" fillId="0" borderId="8" xfId="0" applyFont="1" applyBorder="1" applyAlignment="1">
      <alignment vertical="top" wrapText="1"/>
    </xf>
    <xf numFmtId="0" fontId="13" fillId="0" borderId="14" xfId="0" applyFont="1" applyBorder="1" applyAlignment="1">
      <alignment vertical="top" wrapText="1"/>
    </xf>
    <xf numFmtId="0" fontId="15" fillId="0" borderId="0" xfId="0" applyFont="1" applyAlignment="1">
      <alignment vertical="top" wrapText="1"/>
    </xf>
    <xf numFmtId="1" fontId="15" fillId="0" borderId="39" xfId="0" applyNumberFormat="1" applyFont="1" applyBorder="1" applyAlignment="1">
      <alignment horizontal="left" vertical="top" shrinkToFit="1"/>
    </xf>
    <xf numFmtId="0" fontId="11" fillId="0" borderId="40" xfId="0" applyFont="1" applyBorder="1" applyAlignment="1">
      <alignment horizontal="left" vertical="top" wrapText="1"/>
    </xf>
    <xf numFmtId="0" fontId="11" fillId="0" borderId="50" xfId="0" applyFont="1" applyBorder="1" applyAlignment="1">
      <alignment horizontal="left" vertical="top" wrapText="1"/>
    </xf>
    <xf numFmtId="2" fontId="11" fillId="0" borderId="3" xfId="0" applyNumberFormat="1" applyFont="1" applyBorder="1" applyAlignment="1">
      <alignment horizontal="right" vertical="top"/>
    </xf>
    <xf numFmtId="0" fontId="33" fillId="0" borderId="26" xfId="0" applyFont="1" applyBorder="1" applyAlignment="1">
      <alignment horizontal="center" vertical="top" wrapText="1"/>
    </xf>
    <xf numFmtId="0" fontId="13" fillId="0" borderId="18" xfId="0" applyFont="1" applyBorder="1" applyAlignment="1">
      <alignment horizontal="left" vertical="top" wrapText="1"/>
    </xf>
    <xf numFmtId="0" fontId="13" fillId="0" borderId="51" xfId="0" applyFont="1" applyBorder="1" applyAlignment="1">
      <alignment horizontal="left" vertical="top" wrapText="1"/>
    </xf>
    <xf numFmtId="0" fontId="33" fillId="0" borderId="22" xfId="0" applyFont="1" applyBorder="1" applyAlignment="1">
      <alignment horizontal="left" vertical="top" wrapText="1"/>
    </xf>
    <xf numFmtId="0" fontId="13" fillId="0" borderId="19" xfId="0" applyFont="1" applyBorder="1" applyAlignment="1">
      <alignment horizontal="left" vertical="top" wrapText="1"/>
    </xf>
    <xf numFmtId="165" fontId="13" fillId="0" borderId="4" xfId="1" applyNumberFormat="1" applyFont="1" applyFill="1" applyBorder="1" applyAlignment="1">
      <alignment horizontal="right" vertical="top" wrapText="1"/>
    </xf>
    <xf numFmtId="0" fontId="33" fillId="0" borderId="22" xfId="0" applyFont="1" applyBorder="1" applyAlignment="1">
      <alignment vertical="top" wrapText="1"/>
    </xf>
    <xf numFmtId="0" fontId="11" fillId="0" borderId="19" xfId="0" applyFont="1" applyBorder="1" applyAlignment="1">
      <alignment horizontal="left" vertical="top" wrapText="1"/>
    </xf>
    <xf numFmtId="0" fontId="13" fillId="0" borderId="19" xfId="0" applyFont="1" applyBorder="1" applyAlignment="1">
      <alignment vertical="top"/>
    </xf>
    <xf numFmtId="0" fontId="13" fillId="0" borderId="15" xfId="0" applyFont="1" applyBorder="1" applyAlignment="1">
      <alignment vertical="top" wrapText="1"/>
    </xf>
    <xf numFmtId="0" fontId="33" fillId="0" borderId="25" xfId="0" applyFont="1" applyBorder="1" applyAlignment="1">
      <alignment vertical="top" wrapText="1"/>
    </xf>
    <xf numFmtId="0" fontId="11" fillId="0" borderId="31" xfId="0" applyFont="1" applyBorder="1" applyAlignment="1">
      <alignment horizontal="left" vertical="top" wrapText="1"/>
    </xf>
    <xf numFmtId="2" fontId="11" fillId="0" borderId="17" xfId="0" applyNumberFormat="1" applyFont="1" applyBorder="1" applyAlignment="1">
      <alignment horizontal="right" vertical="top" indent="1"/>
    </xf>
    <xf numFmtId="0" fontId="13" fillId="0" borderId="29" xfId="0" applyFont="1" applyBorder="1" applyAlignment="1">
      <alignment horizontal="left" vertical="top" wrapText="1"/>
    </xf>
    <xf numFmtId="0" fontId="13" fillId="0" borderId="5" xfId="0" applyFont="1" applyBorder="1" applyAlignment="1">
      <alignment horizontal="left" vertical="top" wrapText="1"/>
    </xf>
    <xf numFmtId="0" fontId="13" fillId="0" borderId="16" xfId="0" applyFont="1" applyBorder="1" applyAlignment="1">
      <alignment horizontal="left" vertical="top" wrapText="1"/>
    </xf>
    <xf numFmtId="0" fontId="13" fillId="0" borderId="6" xfId="0" applyFont="1" applyBorder="1" applyAlignment="1">
      <alignment horizontal="left" vertical="top" wrapText="1" indent="1"/>
    </xf>
    <xf numFmtId="0" fontId="33" fillId="0" borderId="8" xfId="0" applyFont="1" applyBorder="1" applyAlignment="1">
      <alignment vertical="top" wrapText="1"/>
    </xf>
    <xf numFmtId="165" fontId="13" fillId="0" borderId="0" xfId="0" applyNumberFormat="1" applyFont="1" applyAlignment="1">
      <alignment horizontal="left" vertical="top" wrapText="1"/>
    </xf>
    <xf numFmtId="0" fontId="13" fillId="0" borderId="4" xfId="0" applyFont="1" applyBorder="1" applyAlignment="1">
      <alignment horizontal="left" vertical="top" wrapText="1" indent="1"/>
    </xf>
    <xf numFmtId="0" fontId="33" fillId="0" borderId="14" xfId="0" applyFont="1" applyBorder="1" applyAlignment="1">
      <alignment vertical="top" wrapText="1"/>
    </xf>
    <xf numFmtId="0" fontId="13" fillId="0" borderId="14" xfId="0" applyFont="1" applyBorder="1" applyAlignment="1">
      <alignment horizontal="left" vertical="top" wrapText="1"/>
    </xf>
    <xf numFmtId="0" fontId="13" fillId="0" borderId="13" xfId="0" applyFont="1" applyBorder="1" applyAlignment="1">
      <alignment horizontal="left" vertical="top" wrapText="1"/>
    </xf>
    <xf numFmtId="0" fontId="13" fillId="0" borderId="12" xfId="0" applyFont="1" applyBorder="1" applyAlignment="1">
      <alignment horizontal="left" vertical="top" wrapText="1"/>
    </xf>
    <xf numFmtId="0" fontId="13" fillId="0" borderId="11" xfId="0" applyFont="1" applyBorder="1" applyAlignment="1">
      <alignment horizontal="left" vertical="top" wrapText="1" indent="1"/>
    </xf>
    <xf numFmtId="164" fontId="11" fillId="0" borderId="0" xfId="0" applyNumberFormat="1" applyFont="1" applyAlignment="1">
      <alignment horizontal="right" vertical="top" wrapText="1"/>
    </xf>
    <xf numFmtId="168" fontId="11" fillId="0" borderId="1" xfId="0" applyNumberFormat="1" applyFont="1" applyBorder="1" applyAlignment="1">
      <alignment horizontal="right" vertical="top" wrapText="1" shrinkToFit="1"/>
    </xf>
    <xf numFmtId="1" fontId="11" fillId="0" borderId="4" xfId="0" applyNumberFormat="1" applyFont="1" applyBorder="1" applyAlignment="1">
      <alignment horizontal="left" vertical="top" shrinkToFit="1"/>
    </xf>
    <xf numFmtId="0" fontId="13" fillId="0" borderId="30" xfId="0" applyFont="1" applyBorder="1" applyAlignment="1">
      <alignment horizontal="left" wrapText="1"/>
    </xf>
    <xf numFmtId="0" fontId="13" fillId="0" borderId="0" xfId="0" applyFont="1" applyAlignment="1">
      <alignment horizontal="left" wrapText="1"/>
    </xf>
    <xf numFmtId="165" fontId="11" fillId="0" borderId="0" xfId="0" applyNumberFormat="1" applyFont="1" applyAlignment="1">
      <alignment horizontal="right" vertical="top" wrapText="1"/>
    </xf>
    <xf numFmtId="0" fontId="11" fillId="0" borderId="6" xfId="0" applyFont="1" applyBorder="1" applyAlignment="1">
      <alignment horizontal="left" wrapText="1"/>
    </xf>
    <xf numFmtId="168" fontId="11" fillId="0" borderId="5" xfId="0" applyNumberFormat="1" applyFont="1" applyBorder="1" applyAlignment="1">
      <alignment horizontal="right" vertical="top" wrapText="1" shrinkToFit="1"/>
    </xf>
    <xf numFmtId="0" fontId="13" fillId="0" borderId="6" xfId="0" applyFont="1" applyBorder="1" applyAlignment="1">
      <alignment horizontal="left" wrapText="1"/>
    </xf>
    <xf numFmtId="0" fontId="13" fillId="0" borderId="8" xfId="0" applyFont="1" applyBorder="1" applyAlignment="1">
      <alignment vertical="top"/>
    </xf>
    <xf numFmtId="165" fontId="13" fillId="0" borderId="6" xfId="0" applyNumberFormat="1" applyFont="1" applyBorder="1" applyAlignment="1">
      <alignment horizontal="right" vertical="top" wrapText="1"/>
    </xf>
    <xf numFmtId="0" fontId="13" fillId="0" borderId="4" xfId="0" applyFont="1" applyBorder="1" applyAlignment="1">
      <alignment horizontal="left" wrapText="1"/>
    </xf>
    <xf numFmtId="165" fontId="11" fillId="0" borderId="4" xfId="0" applyNumberFormat="1" applyFont="1" applyBorder="1" applyAlignment="1">
      <alignment horizontal="right" vertical="top" wrapText="1"/>
    </xf>
    <xf numFmtId="1" fontId="11" fillId="0" borderId="3" xfId="0" applyNumberFormat="1" applyFont="1" applyBorder="1" applyAlignment="1">
      <alignment horizontal="left" vertical="top" shrinkToFit="1"/>
    </xf>
    <xf numFmtId="168" fontId="11" fillId="0" borderId="41" xfId="0" applyNumberFormat="1" applyFont="1" applyBorder="1" applyAlignment="1">
      <alignment horizontal="right" vertical="top" indent="1"/>
    </xf>
    <xf numFmtId="0" fontId="11" fillId="0" borderId="8" xfId="0" applyFont="1" applyBorder="1" applyAlignment="1">
      <alignment horizontal="center" wrapText="1"/>
    </xf>
    <xf numFmtId="165" fontId="13" fillId="0" borderId="20" xfId="0" applyNumberFormat="1" applyFont="1" applyBorder="1" applyAlignment="1">
      <alignment horizontal="left" wrapText="1"/>
    </xf>
    <xf numFmtId="165" fontId="13" fillId="0" borderId="21" xfId="0" applyNumberFormat="1" applyFont="1" applyBorder="1" applyAlignment="1">
      <alignment horizontal="right" vertical="top" wrapText="1"/>
    </xf>
    <xf numFmtId="165" fontId="13" fillId="0" borderId="48" xfId="0" applyNumberFormat="1" applyFont="1" applyBorder="1" applyAlignment="1">
      <alignment horizontal="right" vertical="top" wrapText="1"/>
    </xf>
    <xf numFmtId="0" fontId="13" fillId="0" borderId="8" xfId="0" applyFont="1" applyBorder="1" applyAlignment="1">
      <alignment horizontal="left" vertical="top" wrapText="1" indent="1"/>
    </xf>
    <xf numFmtId="2" fontId="11" fillId="0" borderId="0" xfId="0" applyNumberFormat="1" applyFont="1" applyAlignment="1">
      <alignment horizontal="right" vertical="top" wrapText="1"/>
    </xf>
    <xf numFmtId="0" fontId="13" fillId="0" borderId="14" xfId="0" applyFont="1" applyBorder="1" applyAlignment="1">
      <alignment horizontal="center"/>
    </xf>
    <xf numFmtId="0" fontId="9" fillId="0" borderId="0" xfId="0" applyFont="1" applyAlignment="1">
      <alignment vertical="top"/>
    </xf>
    <xf numFmtId="0" fontId="18" fillId="0" borderId="0" xfId="0" applyFont="1"/>
    <xf numFmtId="0" fontId="40" fillId="0" borderId="0" xfId="0" applyFont="1"/>
    <xf numFmtId="0" fontId="19" fillId="0" borderId="5" xfId="0" applyFont="1" applyBorder="1" applyAlignment="1">
      <alignment horizontal="left"/>
    </xf>
    <xf numFmtId="0" fontId="19" fillId="0" borderId="7" xfId="0" applyFont="1" applyBorder="1"/>
    <xf numFmtId="165" fontId="19" fillId="0" borderId="8" xfId="0" applyNumberFormat="1" applyFont="1" applyBorder="1"/>
    <xf numFmtId="0" fontId="19" fillId="0" borderId="7" xfId="0" applyFont="1" applyBorder="1" applyAlignment="1">
      <alignment horizontal="left"/>
    </xf>
    <xf numFmtId="0" fontId="7" fillId="0" borderId="7" xfId="0" applyFont="1" applyBorder="1" applyAlignment="1">
      <alignment horizontal="center" vertical="center"/>
    </xf>
    <xf numFmtId="168" fontId="7" fillId="0" borderId="4" xfId="0" applyNumberFormat="1" applyFont="1" applyBorder="1" applyAlignment="1">
      <alignment horizontal="right"/>
    </xf>
    <xf numFmtId="0" fontId="7" fillId="0" borderId="3" xfId="0" applyFont="1" applyBorder="1"/>
    <xf numFmtId="0" fontId="7" fillId="0" borderId="15" xfId="0" applyFont="1" applyBorder="1"/>
    <xf numFmtId="0" fontId="11" fillId="0" borderId="8" xfId="0" applyFont="1" applyBorder="1" applyAlignment="1">
      <alignment horizontal="left" vertical="center" wrapText="1" indent="2"/>
    </xf>
    <xf numFmtId="0" fontId="7" fillId="0" borderId="12" xfId="0" applyFont="1" applyBorder="1" applyAlignment="1">
      <alignment horizontal="left"/>
    </xf>
    <xf numFmtId="1" fontId="41" fillId="0" borderId="1" xfId="0" applyNumberFormat="1" applyFont="1" applyBorder="1" applyAlignment="1">
      <alignment horizontal="left" vertical="top" shrinkToFit="1"/>
    </xf>
    <xf numFmtId="0" fontId="11" fillId="0" borderId="15" xfId="0" applyFont="1" applyBorder="1" applyAlignment="1">
      <alignment vertical="top" wrapText="1"/>
    </xf>
    <xf numFmtId="0" fontId="10" fillId="0" borderId="2" xfId="0" applyFont="1" applyBorder="1" applyAlignment="1">
      <alignment vertical="top" wrapText="1"/>
    </xf>
    <xf numFmtId="168" fontId="11" fillId="0" borderId="30" xfId="0" applyNumberFormat="1" applyFont="1" applyBorder="1" applyAlignment="1">
      <alignment horizontal="right" vertical="top"/>
    </xf>
    <xf numFmtId="0" fontId="10" fillId="0" borderId="4" xfId="0" applyFont="1" applyBorder="1" applyAlignment="1">
      <alignment horizontal="left" vertical="center" wrapText="1"/>
    </xf>
    <xf numFmtId="0" fontId="13" fillId="0" borderId="7" xfId="0" applyFont="1" applyBorder="1" applyAlignment="1">
      <alignment vertical="top" wrapText="1"/>
    </xf>
    <xf numFmtId="0" fontId="10" fillId="0" borderId="11" xfId="0" applyFont="1" applyBorder="1" applyAlignment="1">
      <alignment horizontal="left" wrapText="1"/>
    </xf>
    <xf numFmtId="0" fontId="11" fillId="0" borderId="12" xfId="0" applyFont="1" applyBorder="1" applyAlignment="1">
      <alignment vertical="top" wrapText="1"/>
    </xf>
    <xf numFmtId="0" fontId="42" fillId="0" borderId="0" xfId="0" applyFont="1" applyAlignment="1">
      <alignment horizontal="left"/>
    </xf>
    <xf numFmtId="0" fontId="42" fillId="0" borderId="8" xfId="0" applyFont="1" applyBorder="1" applyAlignment="1">
      <alignment horizontal="left"/>
    </xf>
    <xf numFmtId="0" fontId="12" fillId="0" borderId="8" xfId="0" applyFont="1" applyBorder="1" applyAlignment="1">
      <alignment horizontal="right" vertical="top" wrapText="1" indent="1"/>
    </xf>
    <xf numFmtId="1" fontId="17" fillId="0" borderId="33" xfId="0" applyNumberFormat="1" applyFont="1" applyBorder="1"/>
    <xf numFmtId="1" fontId="17" fillId="0" borderId="37" xfId="0" applyNumberFormat="1" applyFont="1" applyBorder="1"/>
    <xf numFmtId="1" fontId="7" fillId="0" borderId="44" xfId="0" applyNumberFormat="1" applyFont="1" applyBorder="1"/>
    <xf numFmtId="0" fontId="13" fillId="0" borderId="0" xfId="0" applyFont="1" applyAlignment="1">
      <alignment horizontal="left" vertical="center" wrapText="1"/>
    </xf>
    <xf numFmtId="0" fontId="17" fillId="0" borderId="0" xfId="0" applyFont="1" applyAlignment="1">
      <alignment horizontal="left" vertical="top"/>
    </xf>
    <xf numFmtId="0" fontId="29" fillId="0" borderId="0" xfId="0" applyFont="1" applyAlignment="1">
      <alignment horizontal="center" vertical="center"/>
    </xf>
    <xf numFmtId="165" fontId="12" fillId="0" borderId="4" xfId="1" applyNumberFormat="1" applyFont="1" applyFill="1" applyBorder="1"/>
    <xf numFmtId="164" fontId="13" fillId="0" borderId="8" xfId="1" applyFont="1" applyFill="1" applyBorder="1"/>
    <xf numFmtId="164" fontId="13" fillId="0" borderId="1" xfId="0" applyNumberFormat="1" applyFont="1" applyBorder="1"/>
    <xf numFmtId="164" fontId="13" fillId="0" borderId="8" xfId="0" applyNumberFormat="1" applyFont="1" applyBorder="1" applyAlignment="1">
      <alignment horizontal="center"/>
    </xf>
    <xf numFmtId="164" fontId="13" fillId="0" borderId="6" xfId="0" applyNumberFormat="1" applyFont="1" applyBorder="1"/>
    <xf numFmtId="164" fontId="13" fillId="0" borderId="4" xfId="0" applyNumberFormat="1" applyFont="1" applyBorder="1"/>
    <xf numFmtId="164" fontId="13" fillId="0" borderId="4" xfId="1" applyFont="1" applyFill="1" applyBorder="1"/>
    <xf numFmtId="164" fontId="13" fillId="0" borderId="4" xfId="0" applyNumberFormat="1" applyFont="1" applyBorder="1" applyAlignment="1">
      <alignment horizontal="right"/>
    </xf>
    <xf numFmtId="164" fontId="13" fillId="0" borderId="11" xfId="1" applyFont="1" applyFill="1" applyBorder="1"/>
    <xf numFmtId="164" fontId="11" fillId="0" borderId="9" xfId="1" applyFont="1" applyFill="1" applyBorder="1"/>
    <xf numFmtId="164" fontId="13" fillId="0" borderId="4" xfId="0" applyNumberFormat="1" applyFont="1" applyBorder="1" applyAlignment="1">
      <alignment horizontal="center"/>
    </xf>
    <xf numFmtId="164" fontId="13" fillId="0" borderId="1" xfId="1" applyFont="1" applyFill="1" applyBorder="1"/>
    <xf numFmtId="164" fontId="13" fillId="0" borderId="4" xfId="0" applyNumberFormat="1" applyFont="1" applyBorder="1" applyAlignment="1">
      <alignment horizontal="center" vertical="center"/>
    </xf>
    <xf numFmtId="164" fontId="25" fillId="0" borderId="4" xfId="1" applyFont="1" applyFill="1" applyBorder="1"/>
    <xf numFmtId="164" fontId="13" fillId="0" borderId="4" xfId="0" applyNumberFormat="1" applyFont="1" applyBorder="1" applyAlignment="1">
      <alignment horizontal="right" vertical="center"/>
    </xf>
    <xf numFmtId="164" fontId="13" fillId="0" borderId="6" xfId="1" applyFont="1" applyFill="1" applyBorder="1"/>
    <xf numFmtId="164" fontId="13" fillId="0" borderId="8" xfId="0" applyNumberFormat="1" applyFont="1" applyBorder="1"/>
    <xf numFmtId="164" fontId="11" fillId="0" borderId="4" xfId="1" applyFont="1" applyFill="1" applyBorder="1"/>
    <xf numFmtId="164" fontId="13" fillId="0" borderId="6" xfId="1" applyFont="1" applyBorder="1" applyAlignment="1">
      <alignment vertical="top"/>
    </xf>
    <xf numFmtId="164" fontId="13" fillId="0" borderId="27" xfId="1" applyFont="1" applyBorder="1" applyAlignment="1">
      <alignment vertical="top"/>
    </xf>
    <xf numFmtId="164" fontId="13" fillId="0" borderId="11" xfId="1" applyFont="1" applyFill="1" applyBorder="1" applyAlignment="1">
      <alignment vertical="top"/>
    </xf>
    <xf numFmtId="164" fontId="13" fillId="0" borderId="4" xfId="1" applyFont="1" applyFill="1" applyBorder="1" applyAlignment="1">
      <alignment vertical="top"/>
    </xf>
    <xf numFmtId="164" fontId="13" fillId="0" borderId="0" xfId="1" applyFont="1" applyFill="1" applyAlignment="1">
      <alignment vertical="top"/>
    </xf>
    <xf numFmtId="164" fontId="13" fillId="0" borderId="8" xfId="1" applyFont="1" applyFill="1" applyBorder="1" applyAlignment="1">
      <alignment vertical="top"/>
    </xf>
    <xf numFmtId="164" fontId="13" fillId="0" borderId="4" xfId="1" applyFont="1" applyBorder="1" applyAlignment="1">
      <alignment vertical="top"/>
    </xf>
    <xf numFmtId="164" fontId="11" fillId="0" borderId="11" xfId="1" applyFont="1" applyFill="1" applyBorder="1" applyAlignment="1">
      <alignment vertical="top"/>
    </xf>
    <xf numFmtId="164" fontId="11" fillId="0" borderId="1" xfId="1" applyFont="1" applyFill="1" applyBorder="1" applyAlignment="1">
      <alignment vertical="top"/>
    </xf>
    <xf numFmtId="164" fontId="11" fillId="0" borderId="15" xfId="1" applyFont="1" applyFill="1" applyBorder="1" applyAlignment="1">
      <alignment vertical="top"/>
    </xf>
    <xf numFmtId="164" fontId="11" fillId="0" borderId="3" xfId="1" applyFont="1" applyFill="1" applyBorder="1" applyAlignment="1">
      <alignment vertical="top"/>
    </xf>
    <xf numFmtId="164" fontId="13" fillId="0" borderId="4" xfId="1" applyFont="1" applyBorder="1"/>
    <xf numFmtId="164" fontId="11" fillId="0" borderId="6" xfId="1" applyFont="1" applyFill="1" applyBorder="1" applyAlignment="1">
      <alignment horizontal="right" vertical="top" wrapText="1"/>
    </xf>
    <xf numFmtId="164" fontId="11" fillId="0" borderId="1" xfId="1" applyFont="1" applyFill="1" applyBorder="1" applyAlignment="1">
      <alignment horizontal="right" vertical="top" wrapText="1"/>
    </xf>
    <xf numFmtId="164" fontId="13" fillId="0" borderId="4" xfId="1" applyFont="1" applyFill="1" applyBorder="1" applyAlignment="1">
      <alignment horizontal="right" vertical="top" wrapText="1"/>
    </xf>
    <xf numFmtId="164" fontId="13" fillId="0" borderId="4" xfId="0" applyNumberFormat="1" applyFont="1" applyBorder="1" applyAlignment="1">
      <alignment horizontal="left" vertical="top" wrapText="1" indent="1"/>
    </xf>
    <xf numFmtId="164" fontId="11" fillId="0" borderId="1" xfId="0" applyNumberFormat="1" applyFont="1" applyBorder="1" applyAlignment="1">
      <alignment horizontal="right" vertical="top" wrapText="1"/>
    </xf>
    <xf numFmtId="164" fontId="13" fillId="0" borderId="7" xfId="0" applyNumberFormat="1" applyFont="1" applyBorder="1" applyAlignment="1">
      <alignment horizontal="right" wrapText="1"/>
    </xf>
    <xf numFmtId="164" fontId="13" fillId="0" borderId="21" xfId="0" applyNumberFormat="1" applyFont="1" applyBorder="1" applyAlignment="1">
      <alignment horizontal="right" vertical="top" wrapText="1"/>
    </xf>
    <xf numFmtId="164" fontId="13" fillId="0" borderId="48" xfId="0" applyNumberFormat="1" applyFont="1" applyBorder="1" applyAlignment="1">
      <alignment horizontal="right" vertical="top" wrapText="1"/>
    </xf>
    <xf numFmtId="164" fontId="11" fillId="0" borderId="52" xfId="0" applyNumberFormat="1" applyFont="1" applyBorder="1" applyAlignment="1">
      <alignment horizontal="right" vertical="top" wrapText="1"/>
    </xf>
    <xf numFmtId="164" fontId="13" fillId="0" borderId="14" xfId="0" applyNumberFormat="1" applyFont="1" applyBorder="1" applyAlignment="1">
      <alignment horizontal="right" vertical="center" wrapText="1"/>
    </xf>
    <xf numFmtId="164" fontId="13" fillId="0" borderId="25" xfId="0" applyNumberFormat="1" applyFont="1" applyBorder="1" applyAlignment="1">
      <alignment horizontal="right" vertical="center" wrapText="1"/>
    </xf>
    <xf numFmtId="164" fontId="13" fillId="0" borderId="22" xfId="0" applyNumberFormat="1" applyFont="1" applyBorder="1" applyAlignment="1">
      <alignment horizontal="right" vertical="center" wrapText="1"/>
    </xf>
    <xf numFmtId="164" fontId="13" fillId="0" borderId="0" xfId="0" applyNumberFormat="1" applyFont="1" applyAlignment="1">
      <alignment horizontal="right" vertical="center" wrapText="1"/>
    </xf>
    <xf numFmtId="164" fontId="13" fillId="0" borderId="6" xfId="0" applyNumberFormat="1" applyFont="1" applyBorder="1" applyAlignment="1">
      <alignment horizontal="right" vertical="center" wrapText="1"/>
    </xf>
    <xf numFmtId="164" fontId="34" fillId="0" borderId="0" xfId="0" applyNumberFormat="1" applyFont="1" applyAlignment="1">
      <alignment horizontal="left" vertical="top" wrapText="1"/>
    </xf>
    <xf numFmtId="164" fontId="13" fillId="0" borderId="4" xfId="0" applyNumberFormat="1" applyFont="1" applyBorder="1" applyAlignment="1">
      <alignment horizontal="left" wrapText="1"/>
    </xf>
    <xf numFmtId="164" fontId="13" fillId="0" borderId="8" xfId="0" applyNumberFormat="1" applyFont="1" applyBorder="1" applyAlignment="1">
      <alignment horizontal="right" vertical="top" wrapText="1"/>
    </xf>
    <xf numFmtId="164" fontId="13" fillId="0" borderId="4" xfId="0" applyNumberFormat="1" applyFont="1" applyBorder="1" applyAlignment="1">
      <alignment horizontal="right" vertical="top" wrapText="1"/>
    </xf>
    <xf numFmtId="164" fontId="13" fillId="0" borderId="11" xfId="0" applyNumberFormat="1" applyFont="1" applyBorder="1" applyAlignment="1">
      <alignment horizontal="right" vertical="top" wrapText="1"/>
    </xf>
    <xf numFmtId="164" fontId="13" fillId="0" borderId="32" xfId="0" applyNumberFormat="1" applyFont="1" applyBorder="1" applyAlignment="1">
      <alignment horizontal="right" vertical="center" wrapText="1"/>
    </xf>
    <xf numFmtId="164" fontId="13" fillId="0" borderId="53" xfId="0" applyNumberFormat="1" applyFont="1" applyBorder="1" applyAlignment="1">
      <alignment horizontal="right" vertical="center" wrapText="1"/>
    </xf>
    <xf numFmtId="164" fontId="11" fillId="0" borderId="38" xfId="0" applyNumberFormat="1" applyFont="1" applyBorder="1" applyAlignment="1">
      <alignment horizontal="right" vertical="center" wrapText="1"/>
    </xf>
    <xf numFmtId="2" fontId="13" fillId="0" borderId="4" xfId="0" applyNumberFormat="1" applyFont="1" applyBorder="1" applyAlignment="1">
      <alignment vertical="top" wrapText="1"/>
    </xf>
    <xf numFmtId="164" fontId="13" fillId="0" borderId="4" xfId="0" applyNumberFormat="1" applyFont="1" applyBorder="1" applyAlignment="1">
      <alignment horizontal="left" vertical="center" wrapText="1"/>
    </xf>
    <xf numFmtId="164" fontId="10" fillId="0" borderId="11" xfId="0" applyNumberFormat="1" applyFont="1" applyBorder="1"/>
    <xf numFmtId="164" fontId="13" fillId="0" borderId="1" xfId="0" applyNumberFormat="1" applyFont="1" applyBorder="1" applyAlignment="1">
      <alignment horizontal="left" vertical="center" wrapText="1"/>
    </xf>
    <xf numFmtId="164" fontId="13" fillId="0" borderId="11" xfId="0" applyNumberFormat="1" applyFont="1" applyBorder="1"/>
    <xf numFmtId="164" fontId="13" fillId="0" borderId="2" xfId="0" applyNumberFormat="1" applyFont="1" applyBorder="1" applyAlignment="1">
      <alignment horizontal="right" vertical="top"/>
    </xf>
    <xf numFmtId="164" fontId="10" fillId="0" borderId="22" xfId="0" applyNumberFormat="1" applyFont="1" applyBorder="1" applyAlignment="1">
      <alignment horizontal="left" vertical="center" wrapText="1"/>
    </xf>
    <xf numFmtId="164" fontId="10" fillId="0" borderId="0" xfId="0" applyNumberFormat="1" applyFont="1" applyAlignment="1">
      <alignment horizontal="left" vertical="center" wrapText="1"/>
    </xf>
    <xf numFmtId="164" fontId="11" fillId="0" borderId="38" xfId="0" applyNumberFormat="1" applyFont="1" applyBorder="1" applyAlignment="1">
      <alignment horizontal="right" vertical="top" wrapText="1"/>
    </xf>
    <xf numFmtId="164" fontId="12" fillId="0" borderId="24" xfId="1" applyFont="1" applyBorder="1" applyAlignment="1">
      <alignment vertical="top" wrapText="1"/>
    </xf>
    <xf numFmtId="164" fontId="12" fillId="0" borderId="22" xfId="1" applyFont="1" applyBorder="1" applyAlignment="1">
      <alignment horizontal="right" vertical="top" wrapText="1"/>
    </xf>
    <xf numFmtId="164" fontId="9" fillId="0" borderId="38" xfId="1" applyFont="1" applyBorder="1" applyAlignment="1">
      <alignment horizontal="right" vertical="top" wrapText="1"/>
    </xf>
    <xf numFmtId="164" fontId="12" fillId="0" borderId="24" xfId="1" applyFont="1" applyBorder="1" applyAlignment="1">
      <alignment horizontal="right" vertical="top" wrapText="1"/>
    </xf>
    <xf numFmtId="164" fontId="12" fillId="0" borderId="26" xfId="1" applyFont="1" applyBorder="1" applyAlignment="1">
      <alignment horizontal="right" vertical="top" wrapText="1"/>
    </xf>
    <xf numFmtId="164" fontId="28" fillId="0" borderId="22" xfId="1" applyFont="1" applyBorder="1" applyAlignment="1">
      <alignment horizontal="right" vertical="top" wrapText="1"/>
    </xf>
    <xf numFmtId="164" fontId="14" fillId="0" borderId="22" xfId="1" applyFont="1" applyBorder="1" applyAlignment="1">
      <alignment horizontal="right" vertical="top" wrapText="1"/>
    </xf>
    <xf numFmtId="164" fontId="14" fillId="0" borderId="22" xfId="1" applyFont="1" applyFill="1" applyBorder="1" applyAlignment="1">
      <alignment horizontal="right" vertical="top" wrapText="1"/>
    </xf>
    <xf numFmtId="164" fontId="14" fillId="0" borderId="8" xfId="1" applyFont="1" applyBorder="1" applyAlignment="1">
      <alignment horizontal="right" vertical="top" wrapText="1"/>
    </xf>
    <xf numFmtId="164" fontId="13" fillId="0" borderId="22" xfId="1" applyFont="1" applyBorder="1" applyAlignment="1">
      <alignment horizontal="left" wrapText="1"/>
    </xf>
    <xf numFmtId="164" fontId="12" fillId="0" borderId="8" xfId="1" applyFont="1" applyBorder="1" applyAlignment="1">
      <alignment horizontal="right" vertical="top" wrapText="1"/>
    </xf>
    <xf numFmtId="164" fontId="9" fillId="0" borderId="1" xfId="1" applyFont="1" applyBorder="1" applyAlignment="1">
      <alignment horizontal="right" vertical="top" wrapText="1"/>
    </xf>
    <xf numFmtId="164" fontId="12" fillId="0" borderId="4" xfId="1" applyFont="1" applyBorder="1"/>
    <xf numFmtId="164" fontId="12" fillId="0" borderId="11" xfId="1" applyFont="1" applyBorder="1"/>
    <xf numFmtId="164" fontId="9" fillId="0" borderId="49" xfId="1" applyFont="1" applyBorder="1" applyAlignment="1">
      <alignment horizontal="right" vertical="top" wrapText="1"/>
    </xf>
    <xf numFmtId="164" fontId="12" fillId="0" borderId="22" xfId="1" applyFont="1" applyBorder="1" applyAlignment="1">
      <alignment vertical="top" wrapText="1"/>
    </xf>
    <xf numFmtId="164" fontId="9" fillId="0" borderId="1" xfId="1" applyFont="1" applyBorder="1" applyAlignment="1">
      <alignment horizontal="right" vertical="center" wrapText="1"/>
    </xf>
    <xf numFmtId="164" fontId="12" fillId="0" borderId="4" xfId="1" applyFont="1" applyFill="1" applyBorder="1"/>
    <xf numFmtId="164" fontId="12" fillId="0" borderId="0" xfId="1" applyFont="1" applyBorder="1"/>
    <xf numFmtId="164" fontId="9" fillId="0" borderId="1" xfId="1" applyFont="1" applyBorder="1" applyAlignment="1">
      <alignment horizontal="right" vertical="top" wrapText="1" indent="1"/>
    </xf>
    <xf numFmtId="164" fontId="37" fillId="0" borderId="34" xfId="0" applyNumberFormat="1" applyFont="1" applyBorder="1"/>
    <xf numFmtId="164" fontId="21" fillId="0" borderId="33" xfId="0" applyNumberFormat="1" applyFont="1" applyBorder="1" applyAlignment="1">
      <alignment horizontal="left"/>
    </xf>
    <xf numFmtId="164" fontId="21" fillId="0" borderId="33" xfId="17" applyFont="1" applyFill="1" applyBorder="1" applyAlignment="1">
      <alignment horizontal="left"/>
    </xf>
    <xf numFmtId="164" fontId="21" fillId="0" borderId="37" xfId="0" applyNumberFormat="1" applyFont="1" applyBorder="1" applyAlignment="1">
      <alignment horizontal="left"/>
    </xf>
    <xf numFmtId="164" fontId="20" fillId="0" borderId="37" xfId="0" applyNumberFormat="1" applyFont="1" applyBorder="1" applyAlignment="1">
      <alignment horizontal="center"/>
    </xf>
    <xf numFmtId="164" fontId="19" fillId="0" borderId="7" xfId="1" applyFont="1" applyBorder="1"/>
    <xf numFmtId="164" fontId="19" fillId="0" borderId="4" xfId="0" applyNumberFormat="1" applyFont="1" applyBorder="1" applyAlignment="1">
      <alignment horizontal="right"/>
    </xf>
    <xf numFmtId="164" fontId="19" fillId="0" borderId="7" xfId="1" applyFont="1" applyFill="1" applyBorder="1"/>
    <xf numFmtId="164" fontId="15" fillId="0" borderId="2" xfId="0" applyNumberFormat="1" applyFont="1" applyBorder="1"/>
    <xf numFmtId="164" fontId="15" fillId="0" borderId="1" xfId="0" applyNumberFormat="1" applyFont="1" applyBorder="1"/>
    <xf numFmtId="164" fontId="19" fillId="0" borderId="0" xfId="0" applyNumberFormat="1" applyFont="1"/>
    <xf numFmtId="164" fontId="7" fillId="0" borderId="0" xfId="0" applyNumberFormat="1" applyFont="1" applyAlignment="1">
      <alignment horizontal="center" vertical="center"/>
    </xf>
    <xf numFmtId="164" fontId="7" fillId="0" borderId="8" xfId="0" applyNumberFormat="1" applyFont="1" applyBorder="1" applyAlignment="1">
      <alignment horizontal="center"/>
    </xf>
    <xf numFmtId="164" fontId="19" fillId="0" borderId="7" xfId="0" applyNumberFormat="1" applyFont="1" applyBorder="1" applyAlignment="1">
      <alignment horizontal="right"/>
    </xf>
    <xf numFmtId="164" fontId="15" fillId="0" borderId="11" xfId="0" applyNumberFormat="1" applyFont="1" applyBorder="1"/>
    <xf numFmtId="164" fontId="33" fillId="0" borderId="1" xfId="0" applyNumberFormat="1" applyFont="1" applyBorder="1"/>
    <xf numFmtId="164" fontId="33" fillId="0" borderId="11" xfId="0" applyNumberFormat="1" applyFont="1" applyBorder="1"/>
    <xf numFmtId="164" fontId="7" fillId="0" borderId="3" xfId="0" applyNumberFormat="1" applyFont="1" applyBorder="1" applyAlignment="1">
      <alignment horizontal="right"/>
    </xf>
    <xf numFmtId="164" fontId="7" fillId="0" borderId="4" xfId="0" applyNumberFormat="1" applyFont="1" applyBorder="1" applyAlignment="1">
      <alignment horizontal="right"/>
    </xf>
    <xf numFmtId="164" fontId="19" fillId="0" borderId="11" xfId="0" applyNumberFormat="1" applyFont="1" applyBorder="1" applyAlignment="1">
      <alignment horizontal="right"/>
    </xf>
    <xf numFmtId="164" fontId="7" fillId="0" borderId="1" xfId="0" applyNumberFormat="1" applyFont="1" applyBorder="1"/>
    <xf numFmtId="164" fontId="19" fillId="0" borderId="4" xfId="0" applyNumberFormat="1" applyFont="1" applyBorder="1"/>
    <xf numFmtId="164" fontId="19" fillId="0" borderId="4" xfId="0" applyNumberFormat="1" applyFont="1" applyBorder="1" applyAlignment="1">
      <alignment horizontal="center"/>
    </xf>
    <xf numFmtId="0" fontId="15" fillId="0" borderId="0" xfId="0" applyFont="1"/>
    <xf numFmtId="0" fontId="43" fillId="0" borderId="0" xfId="0" applyFont="1"/>
    <xf numFmtId="165" fontId="11" fillId="0" borderId="1" xfId="2" applyNumberFormat="1" applyFont="1" applyFill="1" applyBorder="1" applyAlignment="1">
      <alignment horizontal="center" vertical="center" wrapText="1"/>
    </xf>
    <xf numFmtId="0" fontId="11" fillId="0" borderId="1" xfId="0" applyFont="1" applyBorder="1" applyAlignment="1">
      <alignment wrapText="1"/>
    </xf>
    <xf numFmtId="165" fontId="25" fillId="0" borderId="10" xfId="0" applyNumberFormat="1" applyFont="1" applyBorder="1"/>
    <xf numFmtId="0" fontId="11" fillId="0" borderId="11" xfId="0" applyFont="1" applyBorder="1" applyAlignment="1">
      <alignment wrapText="1"/>
    </xf>
    <xf numFmtId="0" fontId="11" fillId="0" borderId="1" xfId="0" applyFont="1" applyBorder="1" applyAlignment="1">
      <alignment horizontal="center" vertical="center"/>
    </xf>
    <xf numFmtId="165" fontId="44" fillId="0" borderId="33" xfId="0" applyNumberFormat="1" applyFont="1" applyBorder="1"/>
    <xf numFmtId="0" fontId="20" fillId="0" borderId="0" xfId="0" applyFont="1" applyAlignment="1">
      <alignment horizontal="center"/>
    </xf>
    <xf numFmtId="0" fontId="11" fillId="0" borderId="1" xfId="0" applyFont="1" applyBorder="1" applyAlignment="1">
      <alignment horizontal="center" vertical="center"/>
    </xf>
    <xf numFmtId="0" fontId="18" fillId="0" borderId="27" xfId="0" applyFont="1" applyBorder="1" applyAlignment="1">
      <alignment horizontal="center"/>
    </xf>
    <xf numFmtId="0" fontId="18" fillId="0" borderId="16" xfId="0" applyFont="1" applyBorder="1" applyAlignment="1">
      <alignment horizontal="center"/>
    </xf>
    <xf numFmtId="0" fontId="39" fillId="0" borderId="14" xfId="0" applyFont="1" applyBorder="1" applyAlignment="1">
      <alignment horizontal="center"/>
    </xf>
    <xf numFmtId="0" fontId="39" fillId="0" borderId="12" xfId="0" applyFont="1" applyBorder="1" applyAlignment="1">
      <alignment horizontal="center"/>
    </xf>
    <xf numFmtId="0" fontId="9" fillId="0" borderId="27" xfId="0" applyFont="1" applyBorder="1" applyAlignment="1">
      <alignment horizontal="center" vertical="center"/>
    </xf>
    <xf numFmtId="0" fontId="9" fillId="0" borderId="16" xfId="0" applyFont="1" applyBorder="1" applyAlignment="1">
      <alignment horizontal="center" vertical="center"/>
    </xf>
    <xf numFmtId="0" fontId="9" fillId="0" borderId="14" xfId="0" applyFont="1" applyBorder="1" applyAlignment="1">
      <alignment horizontal="center"/>
    </xf>
    <xf numFmtId="0" fontId="9" fillId="0" borderId="12" xfId="0" applyFont="1" applyBorder="1" applyAlignment="1">
      <alignment horizontal="center"/>
    </xf>
    <xf numFmtId="0" fontId="13" fillId="0" borderId="0" xfId="0" applyFont="1" applyAlignment="1">
      <alignment horizontal="left" wrapText="1"/>
    </xf>
    <xf numFmtId="0" fontId="33" fillId="0" borderId="0" xfId="0" applyFont="1" applyAlignment="1">
      <alignment horizontal="left" wrapText="1"/>
    </xf>
    <xf numFmtId="0" fontId="9" fillId="0" borderId="0" xfId="0" applyFont="1" applyAlignment="1">
      <alignment horizontal="center" vertical="center"/>
    </xf>
    <xf numFmtId="0" fontId="11" fillId="0" borderId="3" xfId="0" applyFont="1" applyBorder="1" applyAlignment="1">
      <alignment horizontal="center"/>
    </xf>
    <xf numFmtId="0" fontId="11" fillId="0" borderId="2" xfId="0" applyFont="1" applyBorder="1" applyAlignment="1">
      <alignment horizontal="center"/>
    </xf>
    <xf numFmtId="0" fontId="9" fillId="0" borderId="0" xfId="0" applyFont="1" applyAlignment="1">
      <alignment horizontal="center"/>
    </xf>
    <xf numFmtId="0" fontId="9" fillId="0" borderId="0" xfId="3" applyFont="1" applyAlignment="1">
      <alignment horizontal="center" vertical="top"/>
    </xf>
    <xf numFmtId="168" fontId="11" fillId="0" borderId="6" xfId="0" applyNumberFormat="1" applyFont="1" applyBorder="1" applyAlignment="1">
      <alignment horizontal="right" vertical="top" shrinkToFit="1"/>
    </xf>
    <xf numFmtId="168" fontId="11" fillId="0" borderId="11" xfId="0" applyNumberFormat="1" applyFont="1" applyBorder="1" applyAlignment="1">
      <alignment horizontal="right" vertical="top" shrinkToFit="1"/>
    </xf>
    <xf numFmtId="0" fontId="11" fillId="0" borderId="0" xfId="0" applyFont="1" applyAlignment="1">
      <alignment horizontal="center" vertical="top"/>
    </xf>
    <xf numFmtId="0" fontId="11" fillId="0" borderId="3" xfId="0" applyFont="1" applyBorder="1" applyAlignment="1">
      <alignment horizontal="left" vertical="top" wrapText="1"/>
    </xf>
    <xf numFmtId="0" fontId="11" fillId="0" borderId="2" xfId="0" applyFont="1" applyBorder="1" applyAlignment="1">
      <alignment horizontal="left" vertical="top" wrapText="1"/>
    </xf>
    <xf numFmtId="165" fontId="9" fillId="0" borderId="12" xfId="0" applyNumberFormat="1" applyFont="1" applyBorder="1" applyAlignment="1">
      <alignment horizontal="right" vertical="top" wrapText="1"/>
    </xf>
    <xf numFmtId="165" fontId="9" fillId="0" borderId="24" xfId="0" applyNumberFormat="1" applyFont="1" applyBorder="1" applyAlignment="1">
      <alignment horizontal="center" vertical="center" wrapText="1"/>
    </xf>
    <xf numFmtId="165" fontId="9" fillId="0" borderId="25" xfId="0" applyNumberFormat="1" applyFont="1" applyBorder="1" applyAlignment="1">
      <alignment horizontal="center" vertical="center" wrapText="1"/>
    </xf>
    <xf numFmtId="0" fontId="9" fillId="0" borderId="12" xfId="0" applyFont="1" applyBorder="1" applyAlignment="1">
      <alignment horizontal="right" vertical="top" wrapText="1"/>
    </xf>
    <xf numFmtId="0" fontId="11" fillId="0" borderId="27" xfId="0" applyFont="1" applyBorder="1" applyAlignment="1">
      <alignment horizontal="left" vertical="center" wrapText="1" indent="2"/>
    </xf>
    <xf numFmtId="0" fontId="11" fillId="0" borderId="8" xfId="0" applyFont="1" applyBorder="1" applyAlignment="1">
      <alignment horizontal="left" vertical="center" wrapText="1" indent="2"/>
    </xf>
    <xf numFmtId="0" fontId="11" fillId="0" borderId="3" xfId="0" applyFont="1" applyBorder="1" applyAlignment="1">
      <alignment horizontal="center" vertical="top" wrapText="1"/>
    </xf>
    <xf numFmtId="0" fontId="11" fillId="0" borderId="15" xfId="0" applyFont="1" applyBorder="1" applyAlignment="1">
      <alignment horizontal="center" vertical="top" wrapText="1"/>
    </xf>
    <xf numFmtId="0" fontId="11" fillId="0" borderId="2" xfId="0" applyFont="1" applyBorder="1" applyAlignment="1">
      <alignment horizontal="center" vertical="top" wrapText="1"/>
    </xf>
    <xf numFmtId="0" fontId="9" fillId="0" borderId="0" xfId="0" applyFont="1" applyAlignment="1">
      <alignment horizontal="left" vertical="top" wrapText="1"/>
    </xf>
    <xf numFmtId="0" fontId="7" fillId="0" borderId="0" xfId="0" applyFont="1" applyAlignment="1">
      <alignment horizontal="center"/>
    </xf>
    <xf numFmtId="0" fontId="15" fillId="0" borderId="0" xfId="0" applyFont="1" applyAlignment="1">
      <alignment horizontal="center"/>
    </xf>
    <xf numFmtId="0" fontId="9" fillId="0" borderId="0" xfId="0" applyFont="1" applyAlignment="1">
      <alignment horizontal="center" vertical="top"/>
    </xf>
    <xf numFmtId="0" fontId="7" fillId="0" borderId="12" xfId="0" applyFont="1" applyBorder="1" applyAlignment="1">
      <alignment horizontal="left"/>
    </xf>
    <xf numFmtId="0" fontId="7" fillId="0" borderId="13" xfId="0" applyFont="1" applyBorder="1" applyAlignment="1">
      <alignment horizontal="left"/>
    </xf>
    <xf numFmtId="0" fontId="7" fillId="0" borderId="3" xfId="0" applyFont="1" applyBorder="1" applyAlignment="1">
      <alignment horizontal="center" vertical="center"/>
    </xf>
    <xf numFmtId="0" fontId="7" fillId="0" borderId="15" xfId="0" applyFont="1" applyBorder="1" applyAlignment="1">
      <alignment horizontal="center" vertical="center"/>
    </xf>
    <xf numFmtId="165" fontId="13" fillId="0" borderId="0" xfId="0" applyNumberFormat="1" applyFont="1" applyBorder="1" applyAlignment="1">
      <alignment horizontal="right" vertical="top" wrapText="1"/>
    </xf>
    <xf numFmtId="164" fontId="13" fillId="0" borderId="8" xfId="0" applyNumberFormat="1" applyFont="1" applyBorder="1" applyAlignment="1">
      <alignment horizontal="right" vertical="center" wrapText="1"/>
    </xf>
    <xf numFmtId="0" fontId="34" fillId="0" borderId="0" xfId="0" quotePrefix="1" applyFont="1" applyBorder="1" applyAlignment="1">
      <alignment vertical="top" wrapText="1"/>
    </xf>
    <xf numFmtId="0" fontId="13" fillId="0" borderId="0" xfId="0" quotePrefix="1" applyFont="1" applyBorder="1" applyAlignment="1">
      <alignment vertical="top" wrapText="1"/>
    </xf>
    <xf numFmtId="164" fontId="10" fillId="0" borderId="0" xfId="0" applyNumberFormat="1" applyFont="1" applyBorder="1" applyAlignment="1">
      <alignment horizontal="left" vertical="center" wrapText="1"/>
    </xf>
    <xf numFmtId="164" fontId="19" fillId="0" borderId="0" xfId="0" applyNumberFormat="1" applyFont="1" applyBorder="1" applyAlignment="1">
      <alignment horizontal="right"/>
    </xf>
    <xf numFmtId="0" fontId="9" fillId="0" borderId="2" xfId="0" applyFont="1" applyBorder="1" applyAlignment="1">
      <alignment horizontal="left" vertical="top" wrapText="1"/>
    </xf>
    <xf numFmtId="0" fontId="12" fillId="0" borderId="27" xfId="0" applyFont="1" applyBorder="1" applyAlignment="1">
      <alignment vertical="top" wrapText="1"/>
    </xf>
    <xf numFmtId="2" fontId="38" fillId="0" borderId="5" xfId="0" applyNumberFormat="1" applyFont="1" applyBorder="1"/>
    <xf numFmtId="2" fontId="12" fillId="0" borderId="7" xfId="0" applyNumberFormat="1" applyFont="1" applyBorder="1"/>
    <xf numFmtId="0" fontId="12" fillId="0" borderId="7" xfId="0" applyFont="1" applyBorder="1"/>
    <xf numFmtId="0" fontId="12" fillId="0" borderId="7" xfId="0" applyFont="1" applyBorder="1" applyAlignment="1">
      <alignment horizontal="left"/>
    </xf>
    <xf numFmtId="0" fontId="12" fillId="0" borderId="7" xfId="0" applyFont="1" applyBorder="1" applyAlignment="1">
      <alignment horizontal="left" vertical="top" wrapText="1"/>
    </xf>
    <xf numFmtId="0" fontId="12" fillId="0" borderId="14" xfId="0" applyFont="1" applyBorder="1" applyAlignment="1">
      <alignment vertical="top" wrapText="1"/>
    </xf>
    <xf numFmtId="0" fontId="12" fillId="0" borderId="13" xfId="0" applyFont="1" applyBorder="1" applyAlignment="1">
      <alignment horizontal="left"/>
    </xf>
    <xf numFmtId="0" fontId="11" fillId="0" borderId="0" xfId="0" applyFont="1" applyBorder="1"/>
    <xf numFmtId="0" fontId="13" fillId="0" borderId="0" xfId="0" applyFont="1" applyBorder="1"/>
    <xf numFmtId="0" fontId="10" fillId="0" borderId="0" xfId="0" applyFont="1" applyBorder="1"/>
    <xf numFmtId="0" fontId="11" fillId="0" borderId="0" xfId="0" applyFont="1" applyBorder="1" applyAlignment="1">
      <alignment horizontal="center" vertical="top"/>
    </xf>
    <xf numFmtId="0" fontId="11" fillId="0" borderId="0" xfId="0" applyFont="1" applyBorder="1" applyAlignment="1">
      <alignment vertical="top"/>
    </xf>
    <xf numFmtId="0" fontId="25" fillId="0" borderId="0" xfId="0" applyFont="1" applyBorder="1" applyAlignment="1">
      <alignment horizontal="left" vertical="top"/>
    </xf>
    <xf numFmtId="0" fontId="24" fillId="0" borderId="0" xfId="0" applyFont="1" applyBorder="1" applyAlignment="1">
      <alignment vertical="top" wrapText="1"/>
    </xf>
    <xf numFmtId="0" fontId="25" fillId="0" borderId="0" xfId="0" applyFont="1" applyBorder="1"/>
    <xf numFmtId="0" fontId="10" fillId="0" borderId="12" xfId="0" applyFont="1" applyBorder="1"/>
    <xf numFmtId="0" fontId="15" fillId="0" borderId="12" xfId="0" applyFont="1" applyBorder="1" applyAlignment="1">
      <alignment horizontal="right" vertical="top" wrapText="1"/>
    </xf>
    <xf numFmtId="0" fontId="25" fillId="0" borderId="16" xfId="0" applyFont="1" applyBorder="1" applyAlignment="1">
      <alignment vertical="top" wrapText="1"/>
    </xf>
    <xf numFmtId="0" fontId="33" fillId="0" borderId="12" xfId="0" applyFont="1" applyBorder="1" applyAlignment="1">
      <alignment horizontal="left" vertical="top"/>
    </xf>
    <xf numFmtId="165" fontId="11" fillId="0" borderId="0" xfId="0" applyNumberFormat="1" applyFont="1" applyBorder="1" applyAlignment="1">
      <alignment horizontal="right" vertical="top" wrapText="1"/>
    </xf>
    <xf numFmtId="0" fontId="11" fillId="0" borderId="0" xfId="0" applyFont="1" applyBorder="1" applyAlignment="1">
      <alignment horizontal="center"/>
    </xf>
    <xf numFmtId="0" fontId="13" fillId="0" borderId="12" xfId="0" applyFont="1" applyBorder="1"/>
    <xf numFmtId="165" fontId="25" fillId="0" borderId="0" xfId="0" applyNumberFormat="1" applyFont="1" applyBorder="1" applyAlignment="1">
      <alignment horizontal="left" vertical="top"/>
    </xf>
    <xf numFmtId="165" fontId="23" fillId="0" borderId="16" xfId="1" applyNumberFormat="1" applyFont="1" applyBorder="1" applyAlignment="1">
      <alignment horizontal="right" vertical="top" wrapText="1"/>
    </xf>
    <xf numFmtId="165" fontId="9" fillId="0" borderId="0" xfId="0" applyNumberFormat="1" applyFont="1" applyBorder="1" applyAlignment="1">
      <alignment horizontal="right" vertical="center" wrapText="1"/>
    </xf>
  </cellXfs>
  <cellStyles count="31">
    <cellStyle name="Comma" xfId="1" builtinId="3"/>
    <cellStyle name="Comma 10 2 3" xfId="17" xr:uid="{00000000-0005-0000-0000-000001000000}"/>
    <cellStyle name="Comma 13" xfId="7" xr:uid="{00000000-0005-0000-0000-000002000000}"/>
    <cellStyle name="Comma 18" xfId="4" xr:uid="{00000000-0005-0000-0000-000003000000}"/>
    <cellStyle name="Comma 18 2" xfId="18" xr:uid="{00000000-0005-0000-0000-000004000000}"/>
    <cellStyle name="Comma 2" xfId="2" xr:uid="{00000000-0005-0000-0000-000005000000}"/>
    <cellStyle name="Comma 2 2" xfId="5" xr:uid="{00000000-0005-0000-0000-000006000000}"/>
    <cellStyle name="Comma 2 2 2" xfId="9" xr:uid="{00000000-0005-0000-0000-000007000000}"/>
    <cellStyle name="Comma 2 3" xfId="8" xr:uid="{00000000-0005-0000-0000-000008000000}"/>
    <cellStyle name="Comma 2 38" xfId="19" xr:uid="{00000000-0005-0000-0000-000009000000}"/>
    <cellStyle name="Comma 2 4" xfId="10" xr:uid="{00000000-0005-0000-0000-00000A000000}"/>
    <cellStyle name="Comma 3" xfId="11" xr:uid="{00000000-0005-0000-0000-00000B000000}"/>
    <cellStyle name="Comma 4" xfId="6" xr:uid="{00000000-0005-0000-0000-00000C000000}"/>
    <cellStyle name="Comma 8" xfId="21" xr:uid="{00000000-0005-0000-0000-00000D000000}"/>
    <cellStyle name="Excel Built-in Normal" xfId="29" xr:uid="{00000000-0005-0000-0000-00000E000000}"/>
    <cellStyle name="Hyperlink 2" xfId="12" xr:uid="{00000000-0005-0000-0000-00000F000000}"/>
    <cellStyle name="Normal" xfId="0" builtinId="0"/>
    <cellStyle name="Normal 11 2" xfId="22" xr:uid="{00000000-0005-0000-0000-000011000000}"/>
    <cellStyle name="Normal 15 2" xfId="20" xr:uid="{00000000-0005-0000-0000-000012000000}"/>
    <cellStyle name="Normal 2" xfId="13" xr:uid="{00000000-0005-0000-0000-000013000000}"/>
    <cellStyle name="Normal 2 10" xfId="3" xr:uid="{00000000-0005-0000-0000-000014000000}"/>
    <cellStyle name="Normal 2 2" xfId="23" xr:uid="{00000000-0005-0000-0000-000015000000}"/>
    <cellStyle name="Normal 2 3" xfId="14" xr:uid="{00000000-0005-0000-0000-000016000000}"/>
    <cellStyle name="Normal 3" xfId="15" xr:uid="{00000000-0005-0000-0000-000017000000}"/>
    <cellStyle name="Normal 4" xfId="24" xr:uid="{00000000-0005-0000-0000-000018000000}"/>
    <cellStyle name="Normal 5" xfId="25" xr:uid="{00000000-0005-0000-0000-000019000000}"/>
    <cellStyle name="Normal 6" xfId="26" xr:uid="{00000000-0005-0000-0000-00001A000000}"/>
    <cellStyle name="Normal 7" xfId="27" xr:uid="{00000000-0005-0000-0000-00001B000000}"/>
    <cellStyle name="Normal 8" xfId="28" xr:uid="{00000000-0005-0000-0000-00001C000000}"/>
    <cellStyle name="Percent 2" xfId="16" xr:uid="{00000000-0005-0000-0000-00001D000000}"/>
    <cellStyle name="Percent 3" xfId="30" xr:uid="{00000000-0005-0000-0000-00001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My%20Documents\Parties\INDO%20GLOBAL%20CHEMICALS\2020-21\Balance%20sheet\Final%20Balance%20Sheet%2031.03.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TRADING ACCOUNT"/>
      <sheetName val="PROFIT AND LOSS ACCOUNT"/>
      <sheetName val="PROPRIETER_CAPITAL"/>
      <sheetName val="ANNEX."/>
      <sheetName val="DEPRECIATION CHART"/>
    </sheetNames>
    <sheetDataSet>
      <sheetData sheetId="0"/>
      <sheetData sheetId="1"/>
      <sheetData sheetId="2"/>
      <sheetData sheetId="3"/>
      <sheetData sheetId="4">
        <row r="155">
          <cell r="G155" t="str">
            <v>Amount in Rs.</v>
          </cell>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zoomScaleNormal="100" zoomScaleSheetLayoutView="96" workbookViewId="0">
      <selection activeCell="H8" sqref="H8"/>
    </sheetView>
  </sheetViews>
  <sheetFormatPr defaultColWidth="9.109375" defaultRowHeight="14.4" x14ac:dyDescent="0.35"/>
  <cols>
    <col min="1" max="1" width="5.5546875" style="1" customWidth="1"/>
    <col min="2" max="2" width="51.109375" style="1" customWidth="1"/>
    <col min="3" max="3" width="18.88671875" style="1" customWidth="1"/>
    <col min="4" max="4" width="10.88671875" style="2" customWidth="1"/>
    <col min="5" max="5" width="18.88671875" style="2" customWidth="1"/>
    <col min="6" max="6" width="21" style="1" bestFit="1" customWidth="1"/>
    <col min="7" max="16384" width="9.109375" style="1"/>
  </cols>
  <sheetData>
    <row r="1" spans="1:6" ht="21" x14ac:dyDescent="0.4">
      <c r="A1" s="613" t="s">
        <v>327</v>
      </c>
      <c r="B1" s="614"/>
      <c r="C1" s="614"/>
      <c r="D1" s="614"/>
      <c r="E1" s="614"/>
      <c r="F1" s="614"/>
    </row>
    <row r="2" spans="1:6" ht="17.399999999999999" x14ac:dyDescent="0.35">
      <c r="A2" s="615" t="s">
        <v>244</v>
      </c>
      <c r="B2" s="616"/>
      <c r="C2" s="616"/>
      <c r="D2" s="616"/>
      <c r="E2" s="616"/>
      <c r="F2" s="616"/>
    </row>
    <row r="3" spans="1:6" s="6" customFormat="1" x14ac:dyDescent="0.3">
      <c r="A3" s="354"/>
      <c r="B3" s="407"/>
      <c r="C3" s="408"/>
      <c r="D3" s="409"/>
      <c r="E3" s="272" t="s">
        <v>0</v>
      </c>
      <c r="F3" s="606" t="s">
        <v>0</v>
      </c>
    </row>
    <row r="4" spans="1:6" s="6" customFormat="1" x14ac:dyDescent="0.3">
      <c r="A4" s="354"/>
      <c r="B4" s="612" t="s">
        <v>1</v>
      </c>
      <c r="C4" s="612"/>
      <c r="D4" s="609" t="s">
        <v>62</v>
      </c>
      <c r="E4" s="273" t="s">
        <v>245</v>
      </c>
      <c r="F4" s="273" t="s">
        <v>235</v>
      </c>
    </row>
    <row r="5" spans="1:6" s="6" customFormat="1" x14ac:dyDescent="0.3">
      <c r="A5" s="360" t="s">
        <v>2</v>
      </c>
      <c r="B5" s="301" t="s">
        <v>202</v>
      </c>
      <c r="C5" s="410"/>
      <c r="D5" s="411"/>
      <c r="E5" s="355"/>
      <c r="F5" s="193"/>
    </row>
    <row r="6" spans="1:6" s="6" customFormat="1" x14ac:dyDescent="0.3">
      <c r="A6" s="360">
        <v>1</v>
      </c>
      <c r="B6" s="35" t="s">
        <v>64</v>
      </c>
      <c r="C6" s="38"/>
      <c r="D6" s="355"/>
      <c r="E6" s="355"/>
      <c r="F6" s="193"/>
    </row>
    <row r="7" spans="1:6" s="6" customFormat="1" x14ac:dyDescent="0.3">
      <c r="A7" s="355" t="s">
        <v>3</v>
      </c>
      <c r="B7" s="271" t="s">
        <v>65</v>
      </c>
      <c r="C7" s="45"/>
      <c r="D7" s="355">
        <v>2</v>
      </c>
      <c r="E7" s="500">
        <f>capital!G10</f>
        <v>0</v>
      </c>
      <c r="F7" s="505">
        <f>capital!G11</f>
        <v>0</v>
      </c>
    </row>
    <row r="8" spans="1:6" s="6" customFormat="1" x14ac:dyDescent="0.3">
      <c r="A8" s="355"/>
      <c r="B8" s="45"/>
      <c r="C8" s="45"/>
      <c r="D8" s="355"/>
      <c r="E8" s="501">
        <f>SUM(E7:E7)</f>
        <v>0</v>
      </c>
      <c r="F8" s="501">
        <f>SUM(F7:F7)</f>
        <v>0</v>
      </c>
    </row>
    <row r="9" spans="1:6" s="6" customFormat="1" x14ac:dyDescent="0.3">
      <c r="A9" s="355"/>
      <c r="B9" s="45"/>
      <c r="C9" s="45"/>
      <c r="D9" s="412"/>
      <c r="E9" s="502"/>
      <c r="F9" s="503"/>
    </row>
    <row r="10" spans="1:6" s="6" customFormat="1" x14ac:dyDescent="0.3">
      <c r="A10" s="360">
        <v>2</v>
      </c>
      <c r="B10" s="38" t="s">
        <v>255</v>
      </c>
      <c r="C10" s="45"/>
      <c r="D10" s="412"/>
      <c r="E10" s="502"/>
      <c r="F10" s="504"/>
    </row>
    <row r="11" spans="1:6" s="6" customFormat="1" x14ac:dyDescent="0.3">
      <c r="A11" s="355" t="s">
        <v>3</v>
      </c>
      <c r="B11" s="45" t="s">
        <v>256</v>
      </c>
      <c r="C11" s="45"/>
      <c r="D11" s="412">
        <v>3</v>
      </c>
      <c r="E11" s="505">
        <f>'notes to bs'!D19</f>
        <v>0</v>
      </c>
      <c r="F11" s="505">
        <f>'notes to bs'!E19</f>
        <v>0</v>
      </c>
    </row>
    <row r="12" spans="1:6" s="6" customFormat="1" x14ac:dyDescent="0.3">
      <c r="A12" s="355"/>
      <c r="B12" s="45"/>
      <c r="C12" s="45"/>
      <c r="D12" s="412"/>
      <c r="E12" s="502"/>
      <c r="F12" s="504"/>
    </row>
    <row r="13" spans="1:6" s="6" customFormat="1" x14ac:dyDescent="0.3">
      <c r="A13" s="360">
        <v>3</v>
      </c>
      <c r="B13" s="38" t="s">
        <v>7</v>
      </c>
      <c r="C13" s="38"/>
      <c r="D13" s="412"/>
      <c r="E13" s="502"/>
      <c r="F13" s="505"/>
    </row>
    <row r="14" spans="1:6" s="6" customFormat="1" x14ac:dyDescent="0.3">
      <c r="A14" s="355" t="s">
        <v>3</v>
      </c>
      <c r="B14" s="271" t="s">
        <v>75</v>
      </c>
      <c r="C14" s="45"/>
      <c r="D14" s="412">
        <v>3</v>
      </c>
      <c r="E14" s="505">
        <f>'notes to bs'!D34</f>
        <v>0</v>
      </c>
      <c r="F14" s="505">
        <f>'notes to bs'!E34</f>
        <v>0</v>
      </c>
    </row>
    <row r="15" spans="1:6" s="6" customFormat="1" x14ac:dyDescent="0.3">
      <c r="A15" s="355" t="s">
        <v>4</v>
      </c>
      <c r="B15" s="271" t="s">
        <v>79</v>
      </c>
      <c r="C15" s="45"/>
      <c r="D15" s="412">
        <v>4</v>
      </c>
      <c r="E15" s="502"/>
      <c r="F15" s="505"/>
    </row>
    <row r="16" spans="1:6" s="6" customFormat="1" ht="28.8" x14ac:dyDescent="0.3">
      <c r="A16" s="355"/>
      <c r="B16" s="271" t="s">
        <v>76</v>
      </c>
      <c r="C16" s="45"/>
      <c r="D16" s="412"/>
      <c r="E16" s="506">
        <f>'notes to bs'!D38</f>
        <v>0</v>
      </c>
      <c r="F16" s="506">
        <f>'notes to bs'!E38</f>
        <v>0</v>
      </c>
    </row>
    <row r="17" spans="1:6" s="6" customFormat="1" ht="28.8" x14ac:dyDescent="0.3">
      <c r="A17" s="355"/>
      <c r="B17" s="271" t="s">
        <v>77</v>
      </c>
      <c r="C17" s="45"/>
      <c r="D17" s="412"/>
      <c r="E17" s="506">
        <f>'notes to bs'!D39</f>
        <v>0</v>
      </c>
      <c r="F17" s="506">
        <f>'notes to bs'!E39</f>
        <v>0</v>
      </c>
    </row>
    <row r="18" spans="1:6" s="6" customFormat="1" x14ac:dyDescent="0.3">
      <c r="A18" s="355" t="s">
        <v>5</v>
      </c>
      <c r="B18" s="45" t="s">
        <v>8</v>
      </c>
      <c r="C18" s="45"/>
      <c r="D18" s="412">
        <v>5</v>
      </c>
      <c r="E18" s="505">
        <f>'notes to bs'!D65</f>
        <v>0</v>
      </c>
      <c r="F18" s="505">
        <f>'notes to bs'!E65</f>
        <v>0</v>
      </c>
    </row>
    <row r="19" spans="1:6" s="6" customFormat="1" x14ac:dyDescent="0.3">
      <c r="A19" s="355" t="s">
        <v>6</v>
      </c>
      <c r="B19" s="45" t="s">
        <v>210</v>
      </c>
      <c r="C19" s="45"/>
      <c r="D19" s="412">
        <v>6</v>
      </c>
      <c r="E19" s="507">
        <f>'notes to bs'!D71</f>
        <v>0</v>
      </c>
      <c r="F19" s="507">
        <f>'notes to bs'!E71</f>
        <v>0</v>
      </c>
    </row>
    <row r="20" spans="1:6" s="6" customFormat="1" x14ac:dyDescent="0.3">
      <c r="A20" s="355"/>
      <c r="B20" s="45"/>
      <c r="C20" s="45"/>
      <c r="D20" s="355"/>
      <c r="E20" s="505">
        <f>SUM(E11:E19)</f>
        <v>0</v>
      </c>
      <c r="F20" s="505">
        <f>SUM(F11:F19)</f>
        <v>0</v>
      </c>
    </row>
    <row r="21" spans="1:6" s="6" customFormat="1" ht="15" thickBot="1" x14ac:dyDescent="0.35">
      <c r="A21" s="355"/>
      <c r="B21" s="38" t="s">
        <v>9</v>
      </c>
      <c r="C21" s="38"/>
      <c r="D21" s="355"/>
      <c r="E21" s="508">
        <f>E8+E20</f>
        <v>0</v>
      </c>
      <c r="F21" s="508">
        <f>F8+F20</f>
        <v>0</v>
      </c>
    </row>
    <row r="22" spans="1:6" s="6" customFormat="1" ht="15" thickTop="1" x14ac:dyDescent="0.3">
      <c r="A22" s="355"/>
      <c r="B22" s="45"/>
      <c r="C22" s="45"/>
      <c r="D22" s="355"/>
      <c r="E22" s="509"/>
      <c r="F22" s="103"/>
    </row>
    <row r="23" spans="1:6" s="6" customFormat="1" x14ac:dyDescent="0.3">
      <c r="A23" s="360" t="s">
        <v>10</v>
      </c>
      <c r="B23" s="38" t="s">
        <v>11</v>
      </c>
      <c r="C23" s="38"/>
      <c r="D23" s="355"/>
      <c r="E23" s="509"/>
      <c r="F23" s="104"/>
    </row>
    <row r="24" spans="1:6" s="6" customFormat="1" x14ac:dyDescent="0.3">
      <c r="A24" s="360">
        <v>1</v>
      </c>
      <c r="B24" s="38" t="s">
        <v>12</v>
      </c>
      <c r="C24" s="38"/>
      <c r="D24" s="355"/>
      <c r="E24" s="509"/>
      <c r="F24" s="104"/>
    </row>
    <row r="25" spans="1:6" s="6" customFormat="1" x14ac:dyDescent="0.3">
      <c r="A25" s="355" t="s">
        <v>3</v>
      </c>
      <c r="B25" s="45" t="s">
        <v>13</v>
      </c>
      <c r="C25" s="45"/>
      <c r="D25" s="355"/>
      <c r="E25" s="509"/>
      <c r="F25" s="104"/>
    </row>
    <row r="26" spans="1:6" s="6" customFormat="1" x14ac:dyDescent="0.3">
      <c r="A26" s="355"/>
      <c r="B26" s="45" t="s">
        <v>156</v>
      </c>
      <c r="C26" s="45"/>
      <c r="D26" s="355">
        <v>7</v>
      </c>
      <c r="E26" s="506">
        <f>'Fixed Assets C. Yr.'!I68</f>
        <v>0</v>
      </c>
      <c r="F26" s="505">
        <f>'Fixed Assets P. Yr.'!I37</f>
        <v>0</v>
      </c>
    </row>
    <row r="27" spans="1:6" s="6" customFormat="1" x14ac:dyDescent="0.3">
      <c r="A27" s="355"/>
      <c r="B27" s="45" t="s">
        <v>278</v>
      </c>
      <c r="C27" s="45"/>
      <c r="D27" s="355">
        <v>8</v>
      </c>
      <c r="E27" s="506">
        <f>'notes to bs'!D81</f>
        <v>0</v>
      </c>
      <c r="F27" s="505">
        <f>'notes to bs'!E81</f>
        <v>0</v>
      </c>
    </row>
    <row r="28" spans="1:6" s="6" customFormat="1" x14ac:dyDescent="0.3">
      <c r="A28" s="355"/>
      <c r="B28" s="45"/>
      <c r="C28" s="45"/>
      <c r="D28" s="355"/>
      <c r="E28" s="501">
        <f>SUM(E26:E27)</f>
        <v>0</v>
      </c>
      <c r="F28" s="501">
        <f>SUM(F26:F27)</f>
        <v>0</v>
      </c>
    </row>
    <row r="29" spans="1:6" s="6" customFormat="1" x14ac:dyDescent="0.3">
      <c r="A29" s="360">
        <v>2</v>
      </c>
      <c r="B29" s="38" t="s">
        <v>15</v>
      </c>
      <c r="C29" s="38"/>
      <c r="D29" s="355"/>
      <c r="E29" s="509"/>
      <c r="F29" s="104"/>
    </row>
    <row r="30" spans="1:6" s="6" customFormat="1" x14ac:dyDescent="0.3">
      <c r="A30" s="355" t="s">
        <v>3</v>
      </c>
      <c r="B30" s="45" t="s">
        <v>276</v>
      </c>
      <c r="C30" s="45"/>
      <c r="D30" s="355"/>
      <c r="E30" s="506">
        <v>0</v>
      </c>
      <c r="F30" s="506">
        <v>0</v>
      </c>
    </row>
    <row r="31" spans="1:6" s="6" customFormat="1" x14ac:dyDescent="0.3">
      <c r="A31" s="355" t="s">
        <v>3</v>
      </c>
      <c r="B31" s="45" t="s">
        <v>80</v>
      </c>
      <c r="C31" s="38"/>
      <c r="D31" s="355">
        <v>15</v>
      </c>
      <c r="E31" s="506">
        <f>'notes to p&amp;l'!D27</f>
        <v>0</v>
      </c>
      <c r="F31" s="504">
        <f>'notes to p&amp;l'!E27</f>
        <v>0</v>
      </c>
    </row>
    <row r="32" spans="1:6" s="6" customFormat="1" x14ac:dyDescent="0.3">
      <c r="A32" s="355" t="s">
        <v>4</v>
      </c>
      <c r="B32" s="45" t="s">
        <v>81</v>
      </c>
      <c r="C32" s="38"/>
      <c r="D32" s="355">
        <v>9</v>
      </c>
      <c r="E32" s="506">
        <f>'notes to bs'!D101</f>
        <v>0</v>
      </c>
      <c r="F32" s="504">
        <f>'notes to bs'!E101</f>
        <v>0</v>
      </c>
    </row>
    <row r="33" spans="1:6" s="6" customFormat="1" x14ac:dyDescent="0.3">
      <c r="A33" s="355" t="s">
        <v>5</v>
      </c>
      <c r="B33" s="45" t="s">
        <v>16</v>
      </c>
      <c r="C33" s="45"/>
      <c r="D33" s="355">
        <v>10</v>
      </c>
      <c r="E33" s="506">
        <f>'notes to bs'!D120</f>
        <v>0</v>
      </c>
      <c r="F33" s="504">
        <f>'notes to bs'!E120</f>
        <v>0</v>
      </c>
    </row>
    <row r="34" spans="1:6" s="6" customFormat="1" x14ac:dyDescent="0.3">
      <c r="A34" s="355" t="s">
        <v>6</v>
      </c>
      <c r="B34" s="45" t="s">
        <v>17</v>
      </c>
      <c r="C34" s="45"/>
      <c r="D34" s="355">
        <v>11</v>
      </c>
      <c r="E34" s="506">
        <f>'notes to bs'!D150</f>
        <v>0</v>
      </c>
      <c r="F34" s="505">
        <f>'notes to bs'!E150</f>
        <v>0</v>
      </c>
    </row>
    <row r="35" spans="1:6" s="6" customFormat="1" x14ac:dyDescent="0.3">
      <c r="A35" s="355" t="s">
        <v>14</v>
      </c>
      <c r="B35" s="45" t="s">
        <v>272</v>
      </c>
      <c r="C35" s="45"/>
      <c r="D35" s="355">
        <v>12</v>
      </c>
      <c r="E35" s="506">
        <f>'notes to bs'!D160</f>
        <v>0</v>
      </c>
      <c r="F35" s="506">
        <f>'notes to bs'!E160</f>
        <v>0</v>
      </c>
    </row>
    <row r="36" spans="1:6" s="6" customFormat="1" x14ac:dyDescent="0.3">
      <c r="A36" s="355"/>
      <c r="B36" s="45"/>
      <c r="C36" s="45"/>
      <c r="D36" s="355"/>
      <c r="E36" s="501">
        <f>SUM(E31:E35)</f>
        <v>0</v>
      </c>
      <c r="F36" s="501">
        <f>SUM(F31:F35)</f>
        <v>0</v>
      </c>
    </row>
    <row r="37" spans="1:6" s="6" customFormat="1" ht="15" thickBot="1" x14ac:dyDescent="0.35">
      <c r="A37" s="355"/>
      <c r="B37" s="38" t="s">
        <v>9</v>
      </c>
      <c r="C37" s="38"/>
      <c r="D37" s="355"/>
      <c r="E37" s="508">
        <f>E28+E36</f>
        <v>0</v>
      </c>
      <c r="F37" s="508">
        <f>F28+F36</f>
        <v>0</v>
      </c>
    </row>
    <row r="38" spans="1:6" s="6" customFormat="1" ht="15" thickTop="1" x14ac:dyDescent="0.3">
      <c r="A38" s="355"/>
      <c r="B38" s="38"/>
      <c r="C38" s="38"/>
      <c r="D38" s="355"/>
      <c r="E38" s="412"/>
      <c r="F38" s="607"/>
    </row>
    <row r="39" spans="1:6" s="6" customFormat="1" x14ac:dyDescent="0.3">
      <c r="A39" s="355"/>
      <c r="B39" s="45" t="s">
        <v>18</v>
      </c>
      <c r="C39" s="45"/>
      <c r="D39" s="355">
        <v>1</v>
      </c>
      <c r="E39" s="412"/>
      <c r="F39" s="101"/>
    </row>
    <row r="40" spans="1:6" s="6" customFormat="1" x14ac:dyDescent="0.3">
      <c r="A40" s="355"/>
      <c r="B40" s="45"/>
      <c r="C40" s="45"/>
      <c r="D40" s="355"/>
      <c r="E40" s="412"/>
      <c r="F40" s="101"/>
    </row>
    <row r="41" spans="1:6" s="6" customFormat="1" ht="28.8" x14ac:dyDescent="0.3">
      <c r="A41" s="404"/>
      <c r="B41" s="351" t="s">
        <v>19</v>
      </c>
      <c r="C41" s="351"/>
      <c r="D41" s="404"/>
      <c r="E41" s="468"/>
      <c r="F41" s="110"/>
    </row>
  </sheetData>
  <mergeCells count="3">
    <mergeCell ref="B4:C4"/>
    <mergeCell ref="A1:F1"/>
    <mergeCell ref="A2:F2"/>
  </mergeCells>
  <pageMargins left="0.70866141732283472" right="0.70866141732283472" top="0.74803149606299213" bottom="0.74803149606299213" header="0.31496062992125984" footer="0.31496062992125984"/>
  <pageSetup scale="6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zoomScaleNormal="100" zoomScaleSheetLayoutView="100" workbookViewId="0">
      <selection sqref="A1:XFD1"/>
    </sheetView>
  </sheetViews>
  <sheetFormatPr defaultColWidth="9.109375" defaultRowHeight="14.4" x14ac:dyDescent="0.35"/>
  <cols>
    <col min="1" max="1" width="9.109375" style="1"/>
    <col min="2" max="2" width="48.88671875" style="1" customWidth="1"/>
    <col min="3" max="3" width="13.44140625" style="1" customWidth="1"/>
    <col min="4" max="4" width="10.44140625" style="2" customWidth="1"/>
    <col min="5" max="5" width="18.33203125" style="2" customWidth="1"/>
    <col min="6" max="6" width="18.33203125" style="1" customWidth="1"/>
    <col min="7" max="16384" width="9.109375" style="1"/>
  </cols>
  <sheetData>
    <row r="1" spans="1:6" ht="16.2" x14ac:dyDescent="0.35">
      <c r="A1" s="617" t="str">
        <f>bs!A1</f>
        <v xml:space="preserve"> M/S XYZ CO.</v>
      </c>
      <c r="B1" s="618"/>
      <c r="C1" s="618"/>
      <c r="D1" s="618"/>
      <c r="E1" s="618"/>
      <c r="F1" s="618"/>
    </row>
    <row r="2" spans="1:6" ht="16.2" x14ac:dyDescent="0.35">
      <c r="A2" s="619" t="s">
        <v>246</v>
      </c>
      <c r="B2" s="620"/>
      <c r="C2" s="620"/>
      <c r="D2" s="620"/>
      <c r="E2" s="620"/>
      <c r="F2" s="620"/>
    </row>
    <row r="3" spans="1:6" s="6" customFormat="1" x14ac:dyDescent="0.3">
      <c r="A3" s="110"/>
      <c r="B3" s="111"/>
      <c r="C3" s="112"/>
      <c r="D3" s="106"/>
      <c r="E3" s="107"/>
      <c r="F3" s="608" t="s">
        <v>0</v>
      </c>
    </row>
    <row r="4" spans="1:6" s="6" customFormat="1" ht="28.8" x14ac:dyDescent="0.3">
      <c r="A4" s="354"/>
      <c r="B4" s="612" t="s">
        <v>1</v>
      </c>
      <c r="C4" s="612"/>
      <c r="D4" s="605" t="str">
        <f>bs!D4</f>
        <v xml:space="preserve"> Note No.</v>
      </c>
      <c r="E4" s="273" t="s">
        <v>247</v>
      </c>
      <c r="F4" s="273" t="s">
        <v>236</v>
      </c>
    </row>
    <row r="5" spans="1:6" s="6" customFormat="1" x14ac:dyDescent="0.3">
      <c r="A5" s="355" t="s">
        <v>2</v>
      </c>
      <c r="B5" s="356" t="s">
        <v>20</v>
      </c>
      <c r="C5" s="357"/>
      <c r="D5" s="358">
        <v>13</v>
      </c>
      <c r="E5" s="505">
        <f>'notes to p&amp;l'!D8</f>
        <v>0</v>
      </c>
      <c r="F5" s="505">
        <f>'notes to p&amp;l'!E8</f>
        <v>0</v>
      </c>
    </row>
    <row r="6" spans="1:6" s="6" customFormat="1" x14ac:dyDescent="0.3">
      <c r="A6" s="355" t="s">
        <v>10</v>
      </c>
      <c r="B6" s="189" t="s">
        <v>21</v>
      </c>
      <c r="C6" s="45"/>
      <c r="D6" s="359">
        <v>14</v>
      </c>
      <c r="E6" s="505">
        <f>'notes to p&amp;l'!D13</f>
        <v>0</v>
      </c>
      <c r="F6" s="505">
        <f>'notes to p&amp;l'!E13</f>
        <v>0</v>
      </c>
    </row>
    <row r="7" spans="1:6" s="6" customFormat="1" x14ac:dyDescent="0.3">
      <c r="A7" s="360" t="s">
        <v>22</v>
      </c>
      <c r="B7" s="361" t="s">
        <v>23</v>
      </c>
      <c r="C7" s="38"/>
      <c r="D7" s="362"/>
      <c r="E7" s="510">
        <f>SUM(E5:E6)</f>
        <v>0</v>
      </c>
      <c r="F7" s="510">
        <f>SUM(F5:F6)</f>
        <v>0</v>
      </c>
    </row>
    <row r="8" spans="1:6" s="6" customFormat="1" x14ac:dyDescent="0.3">
      <c r="A8" s="100"/>
      <c r="B8" s="105"/>
      <c r="C8" s="99"/>
      <c r="D8" s="114"/>
      <c r="E8" s="511"/>
      <c r="F8" s="512"/>
    </row>
    <row r="9" spans="1:6" s="6" customFormat="1" x14ac:dyDescent="0.3">
      <c r="A9" s="360" t="s">
        <v>24</v>
      </c>
      <c r="B9" s="311" t="s">
        <v>25</v>
      </c>
      <c r="C9" s="401"/>
      <c r="D9" s="362"/>
      <c r="E9" s="511"/>
      <c r="F9" s="512"/>
    </row>
    <row r="10" spans="1:6" s="6" customFormat="1" x14ac:dyDescent="0.3">
      <c r="A10" s="355" t="s">
        <v>3</v>
      </c>
      <c r="B10" s="189" t="s">
        <v>209</v>
      </c>
      <c r="C10" s="401"/>
      <c r="D10" s="362">
        <v>15</v>
      </c>
      <c r="E10" s="505">
        <f>'notes to p&amp;l'!D29</f>
        <v>0</v>
      </c>
      <c r="F10" s="505">
        <f>'notes to p&amp;l'!E29</f>
        <v>0</v>
      </c>
    </row>
    <row r="11" spans="1:6" s="6" customFormat="1" x14ac:dyDescent="0.3">
      <c r="A11" s="355" t="s">
        <v>4</v>
      </c>
      <c r="B11" s="189" t="s">
        <v>26</v>
      </c>
      <c r="C11" s="45"/>
      <c r="D11" s="359">
        <v>16</v>
      </c>
      <c r="E11" s="505">
        <f>'notes to p&amp;l'!D40</f>
        <v>0</v>
      </c>
      <c r="F11" s="505">
        <f>'notes to p&amp;l'!E40</f>
        <v>0</v>
      </c>
    </row>
    <row r="12" spans="1:6" s="6" customFormat="1" x14ac:dyDescent="0.3">
      <c r="A12" s="355" t="s">
        <v>5</v>
      </c>
      <c r="B12" s="189" t="s">
        <v>85</v>
      </c>
      <c r="C12" s="45"/>
      <c r="D12" s="359">
        <v>17</v>
      </c>
      <c r="E12" s="505">
        <f>'notes to p&amp;l'!D47</f>
        <v>0</v>
      </c>
      <c r="F12" s="505">
        <f>'notes to p&amp;l'!E47</f>
        <v>0</v>
      </c>
    </row>
    <row r="13" spans="1:6" s="6" customFormat="1" x14ac:dyDescent="0.3">
      <c r="A13" s="355" t="s">
        <v>6</v>
      </c>
      <c r="B13" s="189" t="s">
        <v>27</v>
      </c>
      <c r="C13" s="45"/>
      <c r="D13" s="362">
        <v>18</v>
      </c>
      <c r="E13" s="505">
        <f>'notes to p&amp;l'!D56</f>
        <v>0</v>
      </c>
      <c r="F13" s="505">
        <f>'notes to p&amp;l'!E56</f>
        <v>0</v>
      </c>
    </row>
    <row r="14" spans="1:6" s="6" customFormat="1" x14ac:dyDescent="0.3">
      <c r="A14" s="355" t="s">
        <v>14</v>
      </c>
      <c r="B14" s="189" t="s">
        <v>28</v>
      </c>
      <c r="C14" s="45"/>
      <c r="D14" s="359">
        <v>19</v>
      </c>
      <c r="E14" s="505">
        <f>'notes to p&amp;l'!D87</f>
        <v>0</v>
      </c>
      <c r="F14" s="505">
        <f>'notes to p&amp;l'!E87</f>
        <v>0</v>
      </c>
    </row>
    <row r="15" spans="1:6" s="6" customFormat="1" x14ac:dyDescent="0.3">
      <c r="A15" s="355"/>
      <c r="B15" s="361" t="s">
        <v>29</v>
      </c>
      <c r="C15" s="38"/>
      <c r="D15" s="402"/>
      <c r="E15" s="510">
        <f>SUM(E10:E14)</f>
        <v>0</v>
      </c>
      <c r="F15" s="510">
        <f>SUM(F10:F14)</f>
        <v>0</v>
      </c>
    </row>
    <row r="16" spans="1:6" s="6" customFormat="1" x14ac:dyDescent="0.3">
      <c r="A16" s="355"/>
      <c r="B16" s="189"/>
      <c r="C16" s="45"/>
      <c r="D16" s="402"/>
      <c r="E16" s="513"/>
      <c r="F16" s="514"/>
    </row>
    <row r="17" spans="1:6" s="6" customFormat="1" x14ac:dyDescent="0.3">
      <c r="A17" s="360" t="s">
        <v>30</v>
      </c>
      <c r="B17" s="361" t="s">
        <v>154</v>
      </c>
      <c r="C17" s="38"/>
      <c r="D17" s="355"/>
      <c r="E17" s="510">
        <f>E7-E15</f>
        <v>0</v>
      </c>
      <c r="F17" s="510">
        <f>F7-F15</f>
        <v>0</v>
      </c>
    </row>
    <row r="18" spans="1:6" s="6" customFormat="1" x14ac:dyDescent="0.3">
      <c r="A18" s="355"/>
      <c r="B18" s="189"/>
      <c r="C18" s="45"/>
      <c r="D18" s="355"/>
      <c r="E18" s="509"/>
      <c r="F18" s="505"/>
    </row>
    <row r="19" spans="1:6" s="6" customFormat="1" x14ac:dyDescent="0.3">
      <c r="A19" s="355" t="s">
        <v>31</v>
      </c>
      <c r="B19" s="189" t="s">
        <v>32</v>
      </c>
      <c r="C19" s="45"/>
      <c r="D19" s="355"/>
      <c r="E19" s="509"/>
      <c r="F19" s="505"/>
    </row>
    <row r="20" spans="1:6" s="6" customFormat="1" x14ac:dyDescent="0.3">
      <c r="A20" s="355" t="s">
        <v>3</v>
      </c>
      <c r="B20" s="189" t="s">
        <v>33</v>
      </c>
      <c r="C20" s="45"/>
      <c r="D20" s="355"/>
      <c r="E20" s="505">
        <v>0</v>
      </c>
      <c r="F20" s="504">
        <v>0</v>
      </c>
    </row>
    <row r="21" spans="1:6" s="6" customFormat="1" x14ac:dyDescent="0.3">
      <c r="A21" s="355" t="s">
        <v>4</v>
      </c>
      <c r="B21" s="189" t="s">
        <v>34</v>
      </c>
      <c r="C21" s="45"/>
      <c r="D21" s="355"/>
      <c r="E21" s="509"/>
      <c r="F21" s="505"/>
    </row>
    <row r="22" spans="1:6" s="6" customFormat="1" x14ac:dyDescent="0.3">
      <c r="A22" s="355"/>
      <c r="B22" s="189"/>
      <c r="C22" s="45"/>
      <c r="D22" s="355"/>
      <c r="E22" s="510">
        <f>SUM(E20:E21)</f>
        <v>0</v>
      </c>
      <c r="F22" s="510">
        <f>SUM(F20:F21)</f>
        <v>0</v>
      </c>
    </row>
    <row r="23" spans="1:6" s="6" customFormat="1" x14ac:dyDescent="0.3">
      <c r="A23" s="355"/>
      <c r="B23" s="189"/>
      <c r="C23" s="45"/>
      <c r="D23" s="355"/>
      <c r="E23" s="509"/>
      <c r="F23" s="516"/>
    </row>
    <row r="24" spans="1:6" s="6" customFormat="1" ht="15" thickBot="1" x14ac:dyDescent="0.35">
      <c r="A24" s="360" t="s">
        <v>155</v>
      </c>
      <c r="B24" s="361" t="s">
        <v>35</v>
      </c>
      <c r="C24" s="38"/>
      <c r="D24" s="355"/>
      <c r="E24" s="508">
        <f>E17-E22</f>
        <v>0</v>
      </c>
      <c r="F24" s="508">
        <f>F17-F22</f>
        <v>0</v>
      </c>
    </row>
    <row r="25" spans="1:6" s="6" customFormat="1" ht="15" thickTop="1" x14ac:dyDescent="0.3">
      <c r="A25" s="355"/>
      <c r="B25" s="189"/>
      <c r="C25" s="45"/>
      <c r="D25" s="355"/>
      <c r="E25" s="355"/>
      <c r="F25" s="307"/>
    </row>
    <row r="26" spans="1:6" s="6" customFormat="1" ht="28.8" x14ac:dyDescent="0.3">
      <c r="A26" s="355"/>
      <c r="B26" s="379" t="s">
        <v>36</v>
      </c>
      <c r="C26" s="403"/>
      <c r="D26" s="193"/>
      <c r="E26" s="193"/>
      <c r="F26" s="307"/>
    </row>
    <row r="27" spans="1:6" s="6" customFormat="1" x14ac:dyDescent="0.3">
      <c r="A27" s="404"/>
      <c r="B27" s="299"/>
      <c r="C27" s="300"/>
      <c r="D27" s="298"/>
      <c r="E27" s="298"/>
      <c r="F27" s="313"/>
    </row>
  </sheetData>
  <mergeCells count="3">
    <mergeCell ref="B4:C4"/>
    <mergeCell ref="A1:F1"/>
    <mergeCell ref="A2:F2"/>
  </mergeCells>
  <hyperlinks>
    <hyperlink ref="B6" location="'Other Income'!A1" display="Other income" xr:uid="{00000000-0004-0000-0100-000000000000}"/>
  </hyperlinks>
  <pageMargins left="0.70866141732283472" right="0.70866141732283472" top="0.74803149606299213" bottom="0.74803149606299213" header="0.31496062992125984" footer="0.31496062992125984"/>
  <pageSetup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4"/>
  <sheetViews>
    <sheetView view="pageBreakPreview" zoomScaleSheetLayoutView="100" workbookViewId="0">
      <selection activeCell="B6" sqref="B6"/>
    </sheetView>
  </sheetViews>
  <sheetFormatPr defaultRowHeight="14.4" x14ac:dyDescent="0.3"/>
  <cols>
    <col min="1" max="1" width="5.44140625" customWidth="1"/>
    <col min="2" max="2" width="11.109375" customWidth="1"/>
    <col min="3" max="3" width="19.109375" customWidth="1"/>
    <col min="7" max="7" width="17" customWidth="1"/>
    <col min="8" max="8" width="13" customWidth="1"/>
    <col min="9" max="9" width="14" customWidth="1"/>
    <col min="10" max="10" width="2.6640625" customWidth="1"/>
  </cols>
  <sheetData>
    <row r="1" spans="1:18" ht="16.2" x14ac:dyDescent="0.3">
      <c r="A1" s="623" t="str">
        <f>bs!A1</f>
        <v xml:space="preserve"> M/S XYZ CO.</v>
      </c>
      <c r="B1" s="623"/>
      <c r="C1" s="623"/>
      <c r="D1" s="623"/>
      <c r="E1" s="623"/>
      <c r="F1" s="623"/>
      <c r="G1" s="623"/>
      <c r="H1" s="623"/>
      <c r="I1" s="623"/>
    </row>
    <row r="2" spans="1:18" ht="16.2" x14ac:dyDescent="0.3">
      <c r="A2" s="623" t="s">
        <v>248</v>
      </c>
      <c r="B2" s="623"/>
      <c r="C2" s="623"/>
      <c r="D2" s="623"/>
      <c r="E2" s="623"/>
      <c r="F2" s="623"/>
      <c r="G2" s="623"/>
      <c r="H2" s="623"/>
      <c r="I2" s="623"/>
    </row>
    <row r="3" spans="1:18" x14ac:dyDescent="0.3">
      <c r="A3" s="172"/>
      <c r="B3" s="172"/>
      <c r="C3" s="172"/>
      <c r="D3" s="172"/>
      <c r="E3" s="172"/>
      <c r="F3" s="172"/>
      <c r="G3" s="172"/>
      <c r="H3" s="172"/>
      <c r="I3" s="172"/>
    </row>
    <row r="4" spans="1:18" x14ac:dyDescent="0.3">
      <c r="A4" s="38">
        <v>1.1000000000000001</v>
      </c>
      <c r="B4" s="401" t="s">
        <v>211</v>
      </c>
      <c r="C4" s="172"/>
      <c r="D4" s="172"/>
      <c r="E4" s="172"/>
      <c r="F4" s="172"/>
      <c r="G4" s="172"/>
      <c r="H4" s="172"/>
      <c r="I4" s="172"/>
    </row>
    <row r="5" spans="1:18" ht="30.75" customHeight="1" x14ac:dyDescent="0.3">
      <c r="A5" s="38"/>
      <c r="B5" s="621" t="s">
        <v>326</v>
      </c>
      <c r="C5" s="622"/>
      <c r="D5" s="622"/>
      <c r="E5" s="622"/>
      <c r="F5" s="622"/>
      <c r="G5" s="622"/>
      <c r="H5" s="622"/>
      <c r="I5" s="622"/>
    </row>
    <row r="6" spans="1:18" x14ac:dyDescent="0.3">
      <c r="A6" s="172"/>
      <c r="B6" s="172"/>
      <c r="C6" s="172"/>
      <c r="D6" s="172"/>
      <c r="E6" s="172"/>
      <c r="F6" s="172"/>
      <c r="G6" s="172"/>
      <c r="H6" s="172"/>
      <c r="I6" s="172"/>
    </row>
    <row r="7" spans="1:18" s="6" customFormat="1" x14ac:dyDescent="0.3">
      <c r="A7" s="38">
        <v>1.2</v>
      </c>
      <c r="B7" s="401" t="s">
        <v>134</v>
      </c>
      <c r="C7" s="45"/>
      <c r="D7" s="45"/>
      <c r="E7" s="45"/>
      <c r="F7" s="45"/>
      <c r="G7" s="45"/>
      <c r="H7" s="45"/>
      <c r="I7" s="45"/>
    </row>
    <row r="8" spans="1:18" s="6" customFormat="1" x14ac:dyDescent="0.3">
      <c r="A8" s="405"/>
      <c r="B8" s="406" t="s">
        <v>133</v>
      </c>
      <c r="C8" s="45"/>
      <c r="D8" s="45"/>
      <c r="E8" s="45"/>
      <c r="F8" s="45"/>
      <c r="G8" s="45"/>
      <c r="H8" s="45"/>
      <c r="I8" s="45"/>
      <c r="M8"/>
      <c r="N8"/>
      <c r="O8"/>
      <c r="P8"/>
      <c r="Q8"/>
      <c r="R8"/>
    </row>
    <row r="9" spans="1:18" s="6" customFormat="1" x14ac:dyDescent="0.3">
      <c r="A9" s="45"/>
      <c r="B9" s="406" t="s">
        <v>135</v>
      </c>
      <c r="C9" s="45"/>
      <c r="D9" s="45"/>
      <c r="E9" s="45"/>
      <c r="F9" s="45"/>
      <c r="G9" s="45"/>
      <c r="H9" s="45"/>
      <c r="I9" s="45"/>
      <c r="M9"/>
      <c r="N9"/>
      <c r="O9"/>
      <c r="P9"/>
      <c r="Q9"/>
      <c r="R9"/>
    </row>
    <row r="10" spans="1:18" s="6" customFormat="1" x14ac:dyDescent="0.3">
      <c r="A10" s="45"/>
      <c r="B10" s="406"/>
      <c r="C10" s="45"/>
      <c r="D10" s="45"/>
      <c r="E10" s="45"/>
      <c r="F10" s="45"/>
      <c r="G10" s="45"/>
      <c r="H10" s="45"/>
      <c r="I10" s="45"/>
    </row>
    <row r="11" spans="1:18" s="6" customFormat="1" x14ac:dyDescent="0.3">
      <c r="A11" s="405" t="s">
        <v>57</v>
      </c>
      <c r="B11" s="400" t="s">
        <v>136</v>
      </c>
      <c r="C11" s="45"/>
      <c r="D11" s="45"/>
      <c r="E11" s="45"/>
      <c r="F11" s="45"/>
      <c r="G11" s="45"/>
      <c r="H11" s="45"/>
      <c r="I11" s="45"/>
    </row>
    <row r="12" spans="1:18" s="6" customFormat="1" x14ac:dyDescent="0.3">
      <c r="A12" s="45"/>
      <c r="B12" s="406" t="s">
        <v>137</v>
      </c>
      <c r="C12" s="45"/>
      <c r="D12" s="45"/>
      <c r="E12" s="45"/>
      <c r="F12" s="45"/>
      <c r="G12" s="45"/>
      <c r="H12" s="45"/>
      <c r="I12" s="45"/>
    </row>
    <row r="13" spans="1:18" s="6" customFormat="1" ht="14.4" customHeight="1" x14ac:dyDescent="0.3">
      <c r="A13" s="45"/>
      <c r="B13" s="406" t="s">
        <v>138</v>
      </c>
      <c r="C13" s="45"/>
      <c r="D13" s="45"/>
      <c r="E13" s="45"/>
      <c r="F13" s="45"/>
      <c r="G13" s="45"/>
      <c r="H13" s="45"/>
      <c r="I13" s="45"/>
    </row>
    <row r="14" spans="1:18" s="6" customFormat="1" ht="14.4" customHeight="1" x14ac:dyDescent="0.3">
      <c r="A14" s="45"/>
      <c r="B14" s="406"/>
      <c r="C14" s="45"/>
      <c r="D14" s="45"/>
      <c r="E14" s="45"/>
      <c r="F14" s="45"/>
      <c r="G14" s="45"/>
      <c r="H14" s="45"/>
      <c r="I14" s="45"/>
    </row>
    <row r="15" spans="1:18" s="6" customFormat="1" x14ac:dyDescent="0.3">
      <c r="A15" s="405" t="s">
        <v>58</v>
      </c>
      <c r="B15" s="400" t="s">
        <v>139</v>
      </c>
      <c r="C15" s="45"/>
      <c r="D15" s="45"/>
      <c r="E15" s="45"/>
      <c r="F15" s="45"/>
      <c r="G15" s="45"/>
      <c r="H15" s="45"/>
      <c r="I15" s="45"/>
    </row>
    <row r="16" spans="1:18" s="6" customFormat="1" x14ac:dyDescent="0.3">
      <c r="A16" s="45"/>
      <c r="B16" s="406" t="s">
        <v>131</v>
      </c>
      <c r="C16" s="45"/>
      <c r="D16" s="45"/>
      <c r="E16" s="45"/>
      <c r="F16" s="45"/>
      <c r="G16" s="45"/>
      <c r="H16" s="45"/>
      <c r="I16" s="45"/>
    </row>
    <row r="17" spans="1:9" s="6" customFormat="1" x14ac:dyDescent="0.3">
      <c r="A17" s="45"/>
      <c r="B17" s="406" t="s">
        <v>160</v>
      </c>
      <c r="C17" s="45"/>
      <c r="D17" s="45"/>
      <c r="E17" s="45"/>
      <c r="F17" s="45"/>
      <c r="G17" s="45"/>
      <c r="H17" s="45"/>
      <c r="I17" s="45"/>
    </row>
    <row r="18" spans="1:9" s="6" customFormat="1" x14ac:dyDescent="0.3">
      <c r="A18" s="45"/>
      <c r="B18" s="406" t="s">
        <v>132</v>
      </c>
      <c r="C18" s="45"/>
      <c r="D18" s="45"/>
      <c r="E18" s="45"/>
      <c r="F18" s="45"/>
      <c r="G18" s="45"/>
      <c r="H18" s="45"/>
      <c r="I18" s="45"/>
    </row>
    <row r="19" spans="1:9" s="6" customFormat="1" x14ac:dyDescent="0.3">
      <c r="A19" s="45"/>
      <c r="B19" s="406"/>
      <c r="C19" s="45"/>
      <c r="D19" s="45"/>
      <c r="E19" s="45"/>
      <c r="F19" s="45"/>
      <c r="G19" s="45"/>
      <c r="H19" s="45"/>
      <c r="I19" s="45"/>
    </row>
    <row r="20" spans="1:9" s="6" customFormat="1" x14ac:dyDescent="0.3">
      <c r="A20" s="405" t="s">
        <v>140</v>
      </c>
      <c r="B20" s="400" t="s">
        <v>141</v>
      </c>
      <c r="C20" s="45"/>
      <c r="D20" s="45"/>
      <c r="E20" s="45"/>
      <c r="F20" s="45"/>
      <c r="G20" s="45"/>
      <c r="H20" s="45"/>
      <c r="I20" s="45"/>
    </row>
    <row r="21" spans="1:9" s="6" customFormat="1" x14ac:dyDescent="0.3">
      <c r="A21" s="45"/>
      <c r="B21" s="406" t="s">
        <v>142</v>
      </c>
      <c r="C21" s="45"/>
      <c r="D21" s="45"/>
      <c r="E21" s="45"/>
      <c r="F21" s="45"/>
      <c r="G21" s="45"/>
      <c r="H21" s="45"/>
      <c r="I21" s="45"/>
    </row>
    <row r="22" spans="1:9" s="6" customFormat="1" x14ac:dyDescent="0.3">
      <c r="A22" s="45"/>
      <c r="B22" s="406"/>
      <c r="C22" s="45"/>
      <c r="D22" s="45"/>
      <c r="E22" s="45"/>
      <c r="F22" s="45"/>
      <c r="G22" s="45"/>
      <c r="H22" s="45"/>
      <c r="I22" s="45"/>
    </row>
    <row r="23" spans="1:9" s="6" customFormat="1" x14ac:dyDescent="0.3">
      <c r="A23" s="405" t="s">
        <v>143</v>
      </c>
      <c r="B23" s="400" t="s">
        <v>80</v>
      </c>
      <c r="C23" s="45"/>
      <c r="D23" s="45"/>
      <c r="E23" s="45"/>
      <c r="F23" s="45"/>
      <c r="G23" s="45"/>
      <c r="H23" s="45"/>
      <c r="I23" s="45"/>
    </row>
    <row r="24" spans="1:9" s="6" customFormat="1" ht="36" customHeight="1" x14ac:dyDescent="0.3">
      <c r="A24" s="45"/>
      <c r="B24" s="621" t="s">
        <v>172</v>
      </c>
      <c r="C24" s="622"/>
      <c r="D24" s="622"/>
      <c r="E24" s="622"/>
      <c r="F24" s="622"/>
      <c r="G24" s="622"/>
      <c r="H24" s="622"/>
      <c r="I24" s="622"/>
    </row>
    <row r="25" spans="1:9" s="6" customFormat="1" x14ac:dyDescent="0.3">
      <c r="A25" s="45"/>
      <c r="B25" s="406" t="s">
        <v>174</v>
      </c>
      <c r="C25" s="406"/>
      <c r="D25" s="406"/>
      <c r="E25" s="406"/>
      <c r="F25" s="406"/>
      <c r="G25" s="406"/>
      <c r="H25" s="406"/>
      <c r="I25" s="406"/>
    </row>
    <row r="26" spans="1:9" s="6" customFormat="1" x14ac:dyDescent="0.3">
      <c r="A26" s="45"/>
      <c r="B26" s="406" t="s">
        <v>173</v>
      </c>
      <c r="C26" s="406"/>
      <c r="D26" s="406"/>
      <c r="E26" s="406"/>
      <c r="F26" s="406"/>
      <c r="G26" s="406"/>
      <c r="H26" s="406"/>
      <c r="I26" s="406"/>
    </row>
    <row r="27" spans="1:9" s="6" customFormat="1" x14ac:dyDescent="0.3">
      <c r="A27" s="45"/>
      <c r="B27" s="406"/>
      <c r="C27" s="45"/>
      <c r="D27" s="45"/>
      <c r="E27" s="45"/>
      <c r="F27" s="45"/>
      <c r="G27" s="45"/>
      <c r="H27" s="45"/>
      <c r="I27" s="45"/>
    </row>
    <row r="28" spans="1:9" s="6" customFormat="1" x14ac:dyDescent="0.3">
      <c r="A28" s="405" t="s">
        <v>144</v>
      </c>
      <c r="B28" s="400" t="s">
        <v>164</v>
      </c>
      <c r="C28" s="45"/>
      <c r="D28" s="45"/>
      <c r="E28" s="45"/>
      <c r="F28" s="45"/>
      <c r="G28" s="45"/>
      <c r="H28" s="45"/>
      <c r="I28" s="45"/>
    </row>
    <row r="29" spans="1:9" s="6" customFormat="1" x14ac:dyDescent="0.3">
      <c r="A29" s="45"/>
      <c r="B29" s="406" t="s">
        <v>165</v>
      </c>
      <c r="C29" s="45"/>
      <c r="D29" s="45"/>
      <c r="E29" s="45"/>
      <c r="F29" s="45"/>
      <c r="G29" s="45"/>
      <c r="H29" s="45"/>
      <c r="I29" s="45"/>
    </row>
    <row r="30" spans="1:9" s="6" customFormat="1" x14ac:dyDescent="0.3">
      <c r="A30" s="45"/>
      <c r="B30" s="406" t="s">
        <v>145</v>
      </c>
      <c r="C30" s="45"/>
      <c r="D30" s="45"/>
      <c r="E30" s="45"/>
      <c r="F30" s="45"/>
      <c r="G30" s="45"/>
      <c r="H30" s="45"/>
      <c r="I30" s="45"/>
    </row>
    <row r="31" spans="1:9" s="6" customFormat="1" x14ac:dyDescent="0.3">
      <c r="A31" s="45"/>
      <c r="B31" s="406" t="s">
        <v>146</v>
      </c>
      <c r="C31" s="45"/>
      <c r="D31" s="45"/>
      <c r="E31" s="45"/>
      <c r="F31" s="45"/>
      <c r="G31" s="45"/>
      <c r="H31" s="45"/>
      <c r="I31" s="45"/>
    </row>
    <row r="32" spans="1:9" s="6" customFormat="1" x14ac:dyDescent="0.3">
      <c r="A32" s="45"/>
      <c r="B32" s="406"/>
      <c r="C32" s="45"/>
      <c r="D32" s="45"/>
      <c r="E32" s="45"/>
      <c r="F32" s="45"/>
      <c r="G32" s="45"/>
      <c r="H32" s="45"/>
      <c r="I32" s="45"/>
    </row>
    <row r="33" spans="1:9" s="6" customFormat="1" x14ac:dyDescent="0.3">
      <c r="A33" s="38">
        <v>1.3</v>
      </c>
      <c r="B33" s="406" t="s">
        <v>147</v>
      </c>
      <c r="C33" s="45"/>
      <c r="D33" s="45"/>
      <c r="E33" s="45"/>
      <c r="F33" s="45"/>
      <c r="G33" s="45"/>
      <c r="H33" s="45"/>
      <c r="I33" s="45"/>
    </row>
    <row r="34" spans="1:9" s="6" customFormat="1" x14ac:dyDescent="0.3">
      <c r="A34" s="45"/>
      <c r="B34" s="406"/>
      <c r="C34" s="45"/>
      <c r="D34" s="45"/>
      <c r="E34" s="45"/>
      <c r="F34" s="45"/>
      <c r="G34" s="45"/>
      <c r="H34" s="45"/>
      <c r="I34" s="45"/>
    </row>
    <row r="35" spans="1:9" s="6" customFormat="1" x14ac:dyDescent="0.3">
      <c r="A35" s="38">
        <v>1.4</v>
      </c>
      <c r="B35" s="406" t="s">
        <v>166</v>
      </c>
      <c r="C35" s="45"/>
      <c r="D35" s="45"/>
      <c r="E35" s="45"/>
      <c r="F35" s="45"/>
      <c r="G35" s="45"/>
      <c r="H35" s="45"/>
      <c r="I35" s="45"/>
    </row>
    <row r="36" spans="1:9" s="6" customFormat="1" x14ac:dyDescent="0.3">
      <c r="A36" s="45"/>
      <c r="B36" s="406" t="s">
        <v>157</v>
      </c>
      <c r="C36" s="45"/>
      <c r="D36" s="45"/>
      <c r="E36" s="45"/>
      <c r="F36" s="45"/>
      <c r="G36" s="45"/>
      <c r="H36" s="45"/>
      <c r="I36" s="45"/>
    </row>
    <row r="37" spans="1:9" s="6" customFormat="1" x14ac:dyDescent="0.3">
      <c r="A37" s="45"/>
      <c r="B37" s="406"/>
      <c r="C37" s="45"/>
      <c r="D37" s="45"/>
      <c r="E37" s="45"/>
      <c r="F37" s="45"/>
      <c r="G37" s="45"/>
      <c r="H37" s="45"/>
      <c r="I37" s="45"/>
    </row>
    <row r="38" spans="1:9" s="6" customFormat="1" x14ac:dyDescent="0.3">
      <c r="A38" s="38">
        <v>1.5</v>
      </c>
      <c r="B38" s="406" t="s">
        <v>167</v>
      </c>
      <c r="C38" s="45"/>
      <c r="D38" s="45"/>
      <c r="E38" s="45"/>
      <c r="F38" s="45"/>
      <c r="G38" s="45"/>
      <c r="H38" s="45"/>
      <c r="I38" s="45"/>
    </row>
    <row r="39" spans="1:9" s="6" customFormat="1" x14ac:dyDescent="0.3">
      <c r="A39" s="45"/>
      <c r="B39" s="406" t="s">
        <v>168</v>
      </c>
      <c r="C39" s="45"/>
      <c r="D39" s="45"/>
      <c r="E39" s="45"/>
      <c r="F39" s="45"/>
      <c r="G39" s="45"/>
      <c r="H39" s="45"/>
      <c r="I39" s="45"/>
    </row>
    <row r="40" spans="1:9" s="6" customFormat="1" x14ac:dyDescent="0.3">
      <c r="A40" s="38"/>
      <c r="B40" s="406"/>
      <c r="C40" s="45"/>
      <c r="D40" s="45"/>
      <c r="E40" s="45"/>
      <c r="F40" s="45"/>
      <c r="G40" s="45"/>
      <c r="H40" s="45"/>
      <c r="I40" s="45"/>
    </row>
    <row r="41" spans="1:9" s="6" customFormat="1" x14ac:dyDescent="0.3">
      <c r="A41" s="38">
        <v>1.6</v>
      </c>
      <c r="B41" s="406" t="s">
        <v>148</v>
      </c>
      <c r="C41" s="45"/>
      <c r="D41" s="45"/>
      <c r="E41" s="45"/>
      <c r="F41" s="45"/>
      <c r="G41" s="45"/>
      <c r="H41" s="45"/>
      <c r="I41" s="45"/>
    </row>
    <row r="42" spans="1:9" s="6" customFormat="1" x14ac:dyDescent="0.3">
      <c r="A42" s="45"/>
      <c r="B42" s="406" t="s">
        <v>242</v>
      </c>
      <c r="C42" s="45"/>
      <c r="D42" s="45"/>
      <c r="E42" s="45"/>
      <c r="F42" s="45"/>
      <c r="G42" s="45"/>
      <c r="H42" s="45"/>
      <c r="I42" s="45"/>
    </row>
    <row r="43" spans="1:9" s="6" customFormat="1" x14ac:dyDescent="0.3">
      <c r="A43" s="45"/>
      <c r="B43" s="406" t="s">
        <v>169</v>
      </c>
      <c r="C43" s="45"/>
      <c r="D43" s="45"/>
      <c r="E43" s="45"/>
      <c r="F43" s="45"/>
      <c r="G43" s="45"/>
      <c r="H43" s="45"/>
      <c r="I43" s="45"/>
    </row>
    <row r="44" spans="1:9" s="6" customFormat="1" x14ac:dyDescent="0.3">
      <c r="A44" s="45"/>
      <c r="B44" s="406" t="s">
        <v>243</v>
      </c>
      <c r="C44" s="45"/>
      <c r="D44" s="45"/>
      <c r="E44" s="45"/>
      <c r="F44" s="45"/>
      <c r="G44" s="45"/>
      <c r="H44" s="45"/>
      <c r="I44" s="45"/>
    </row>
    <row r="45" spans="1:9" s="6" customFormat="1" x14ac:dyDescent="0.3">
      <c r="A45" s="45"/>
      <c r="B45" s="406"/>
      <c r="C45" s="45"/>
      <c r="D45" s="45"/>
      <c r="E45" s="45"/>
      <c r="F45" s="45"/>
      <c r="G45" s="45"/>
      <c r="H45" s="45"/>
      <c r="I45" s="45"/>
    </row>
    <row r="46" spans="1:9" s="6" customFormat="1" x14ac:dyDescent="0.3">
      <c r="A46" s="38">
        <v>1.7</v>
      </c>
      <c r="B46" s="406" t="s">
        <v>170</v>
      </c>
      <c r="C46" s="45"/>
      <c r="D46" s="45"/>
      <c r="E46" s="45"/>
      <c r="F46" s="45"/>
      <c r="G46" s="45"/>
      <c r="H46" s="45"/>
      <c r="I46" s="45"/>
    </row>
    <row r="47" spans="1:9" s="6" customFormat="1" x14ac:dyDescent="0.3">
      <c r="A47" s="45"/>
      <c r="B47" s="406" t="s">
        <v>149</v>
      </c>
      <c r="C47" s="45"/>
      <c r="D47" s="45"/>
      <c r="E47" s="45"/>
      <c r="F47" s="45"/>
      <c r="G47" s="45"/>
      <c r="H47" s="45"/>
      <c r="I47" s="45"/>
    </row>
    <row r="48" spans="1:9" s="6" customFormat="1" x14ac:dyDescent="0.3">
      <c r="A48" s="45"/>
      <c r="B48" s="45"/>
      <c r="C48" s="45"/>
      <c r="D48" s="45"/>
      <c r="E48" s="45"/>
      <c r="F48" s="45"/>
      <c r="G48" s="45"/>
      <c r="H48" s="45"/>
      <c r="I48" s="45"/>
    </row>
    <row r="49" spans="1:9" s="6" customFormat="1" x14ac:dyDescent="0.3">
      <c r="A49" s="45"/>
      <c r="B49" s="45"/>
      <c r="C49" s="45"/>
      <c r="D49" s="45"/>
      <c r="E49" s="45"/>
      <c r="F49" s="45"/>
      <c r="G49" s="45"/>
      <c r="H49" s="45"/>
      <c r="I49" s="45"/>
    </row>
    <row r="50" spans="1:9" s="6" customFormat="1" x14ac:dyDescent="0.3">
      <c r="A50" s="45"/>
      <c r="B50" s="45"/>
      <c r="C50" s="45"/>
      <c r="D50" s="45"/>
      <c r="E50" s="45"/>
      <c r="F50" s="45"/>
      <c r="G50" s="45"/>
      <c r="H50" s="45"/>
      <c r="I50" s="45"/>
    </row>
    <row r="51" spans="1:9" s="6" customFormat="1" x14ac:dyDescent="0.3">
      <c r="A51" s="45"/>
      <c r="B51" s="45"/>
      <c r="C51" s="45"/>
      <c r="D51" s="45"/>
      <c r="E51" s="45"/>
      <c r="F51" s="45"/>
      <c r="G51" s="45"/>
      <c r="H51" s="45"/>
      <c r="I51" s="45"/>
    </row>
    <row r="52" spans="1:9" s="6" customFormat="1" x14ac:dyDescent="0.3">
      <c r="A52" s="45"/>
      <c r="B52" s="166" t="e">
        <f>bs!#REF!</f>
        <v>#REF!</v>
      </c>
      <c r="C52" s="269"/>
      <c r="D52" s="269"/>
      <c r="E52" s="269"/>
      <c r="F52" s="269"/>
      <c r="G52" s="166" t="e">
        <f>bs!#REF!</f>
        <v>#REF!</v>
      </c>
      <c r="H52" s="269"/>
      <c r="I52" s="269"/>
    </row>
    <row r="53" spans="1:9" s="6" customFormat="1" x14ac:dyDescent="0.3">
      <c r="A53" s="45"/>
      <c r="B53" s="400" t="e">
        <f>capital!#REF!</f>
        <v>#REF!</v>
      </c>
      <c r="C53" s="269"/>
      <c r="D53" s="269"/>
      <c r="E53" s="269"/>
      <c r="F53" s="269"/>
      <c r="G53" s="166" t="e">
        <f>'p&amp;l'!#REF!</f>
        <v>#REF!</v>
      </c>
      <c r="H53" s="269"/>
      <c r="I53" s="269"/>
    </row>
    <row r="54" spans="1:9" s="6" customFormat="1" x14ac:dyDescent="0.3"/>
  </sheetData>
  <mergeCells count="4">
    <mergeCell ref="B24:I24"/>
    <mergeCell ref="B5:I5"/>
    <mergeCell ref="A1:I1"/>
    <mergeCell ref="A2:I2"/>
  </mergeCells>
  <pageMargins left="0.7" right="0.7" top="0.75" bottom="0.75" header="0.3" footer="0.3"/>
  <pageSetup scale="7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7"/>
  <sheetViews>
    <sheetView zoomScaleNormal="100" zoomScaleSheetLayoutView="110" workbookViewId="0">
      <selection activeCell="A3" sqref="A1:A1048576"/>
    </sheetView>
  </sheetViews>
  <sheetFormatPr defaultColWidth="9.109375" defaultRowHeight="14.4" x14ac:dyDescent="0.35"/>
  <cols>
    <col min="1" max="1" width="7.6640625" style="1" customWidth="1"/>
    <col min="2" max="2" width="19.6640625" style="1" customWidth="1"/>
    <col min="3" max="3" width="17" style="1" bestFit="1" customWidth="1"/>
    <col min="4" max="6" width="15.109375" style="1" customWidth="1"/>
    <col min="7" max="7" width="18.109375" style="1" customWidth="1"/>
    <col min="8" max="16384" width="9.109375" style="1"/>
  </cols>
  <sheetData>
    <row r="1" spans="1:7" ht="16.2" x14ac:dyDescent="0.35">
      <c r="A1" s="626" t="str">
        <f>bs!A1</f>
        <v xml:space="preserve"> M/S XYZ CO.</v>
      </c>
      <c r="B1" s="626"/>
      <c r="C1" s="626"/>
      <c r="D1" s="626"/>
      <c r="E1" s="626"/>
      <c r="F1" s="626"/>
      <c r="G1" s="626"/>
    </row>
    <row r="2" spans="1:7" ht="16.2" x14ac:dyDescent="0.35">
      <c r="A2" s="627" t="s">
        <v>251</v>
      </c>
      <c r="B2" s="627"/>
      <c r="C2" s="627"/>
      <c r="D2" s="627"/>
      <c r="E2" s="627"/>
      <c r="F2" s="627"/>
      <c r="G2" s="627"/>
    </row>
    <row r="3" spans="1:7" x14ac:dyDescent="0.35">
      <c r="A3" s="97"/>
      <c r="B3" s="98"/>
      <c r="C3" s="98"/>
      <c r="D3" s="98"/>
      <c r="E3" s="98"/>
      <c r="F3" s="98"/>
      <c r="G3" s="98"/>
    </row>
    <row r="4" spans="1:7" s="6" customFormat="1" x14ac:dyDescent="0.3">
      <c r="A4" s="39" t="s">
        <v>171</v>
      </c>
      <c r="B4" s="45"/>
      <c r="C4" s="45"/>
      <c r="D4" s="45"/>
      <c r="E4" s="45"/>
      <c r="F4" s="45"/>
      <c r="G4" s="45"/>
    </row>
    <row r="5" spans="1:7" s="6" customFormat="1" x14ac:dyDescent="0.3">
      <c r="A5" s="45"/>
      <c r="B5" s="45"/>
      <c r="C5" s="45"/>
      <c r="D5" s="45"/>
      <c r="E5" s="45"/>
      <c r="F5" s="45"/>
      <c r="G5" s="45"/>
    </row>
    <row r="6" spans="1:7" s="6" customFormat="1" x14ac:dyDescent="0.3">
      <c r="A6" s="624" t="s">
        <v>232</v>
      </c>
      <c r="B6" s="625"/>
      <c r="C6" s="146"/>
      <c r="D6" s="147"/>
      <c r="E6" s="147"/>
      <c r="F6" s="147"/>
      <c r="G6" s="148" t="s">
        <v>0</v>
      </c>
    </row>
    <row r="7" spans="1:7" s="6" customFormat="1" ht="57.6" x14ac:dyDescent="0.3">
      <c r="A7" s="40" t="s">
        <v>37</v>
      </c>
      <c r="B7" s="40" t="s">
        <v>117</v>
      </c>
      <c r="C7" s="40" t="s">
        <v>249</v>
      </c>
      <c r="D7" s="40" t="s">
        <v>66</v>
      </c>
      <c r="E7" s="41" t="s">
        <v>38</v>
      </c>
      <c r="F7" s="40" t="s">
        <v>39</v>
      </c>
      <c r="G7" s="40" t="s">
        <v>250</v>
      </c>
    </row>
    <row r="8" spans="1:7" s="6" customFormat="1" x14ac:dyDescent="0.3">
      <c r="A8" s="149">
        <v>1</v>
      </c>
      <c r="B8" s="42" t="s">
        <v>328</v>
      </c>
      <c r="C8" s="517">
        <f>G11</f>
        <v>0</v>
      </c>
      <c r="D8" s="517"/>
      <c r="E8" s="517"/>
      <c r="F8" s="518">
        <f>'p&amp;l'!E24</f>
        <v>0</v>
      </c>
      <c r="G8" s="517">
        <f>C8+D8-E8+F8</f>
        <v>0</v>
      </c>
    </row>
    <row r="9" spans="1:7" s="6" customFormat="1" x14ac:dyDescent="0.3">
      <c r="A9" s="152"/>
      <c r="B9" s="43"/>
      <c r="C9" s="519"/>
      <c r="D9" s="520"/>
      <c r="E9" s="521"/>
      <c r="F9" s="522"/>
      <c r="G9" s="523"/>
    </row>
    <row r="10" spans="1:7" s="6" customFormat="1" x14ac:dyDescent="0.3">
      <c r="A10" s="158"/>
      <c r="B10" s="44"/>
      <c r="C10" s="524">
        <f>SUM(C8:C9)</f>
        <v>0</v>
      </c>
      <c r="D10" s="525">
        <f>SUM(D8:D9)</f>
        <v>0</v>
      </c>
      <c r="E10" s="526">
        <f>SUM(E8:E9)</f>
        <v>0</v>
      </c>
      <c r="F10" s="527">
        <f>SUM(F8:F9)</f>
        <v>0</v>
      </c>
      <c r="G10" s="525">
        <f>C10+D10-E10+F10</f>
        <v>0</v>
      </c>
    </row>
    <row r="11" spans="1:7" s="6" customFormat="1" x14ac:dyDescent="0.3">
      <c r="A11" s="624" t="s">
        <v>40</v>
      </c>
      <c r="B11" s="625"/>
      <c r="C11" s="524"/>
      <c r="D11" s="525"/>
      <c r="E11" s="526"/>
      <c r="F11" s="527">
        <f>'p&amp;l'!F17</f>
        <v>0</v>
      </c>
      <c r="G11" s="525">
        <f>C11+D11-E11+F11</f>
        <v>0</v>
      </c>
    </row>
    <row r="12" spans="1:7" s="48" customFormat="1" x14ac:dyDescent="0.3">
      <c r="A12" s="163"/>
      <c r="B12" s="163"/>
      <c r="C12" s="36"/>
      <c r="D12" s="163"/>
      <c r="E12" s="163"/>
      <c r="F12" s="163"/>
      <c r="G12" s="164"/>
    </row>
    <row r="13" spans="1:7" s="48" customFormat="1" ht="15.6" hidden="1" customHeight="1" x14ac:dyDescent="0.3">
      <c r="A13" s="163"/>
      <c r="B13" s="163"/>
      <c r="C13" s="36"/>
      <c r="D13" s="163"/>
      <c r="E13" s="163"/>
      <c r="F13" s="163"/>
      <c r="G13" s="165"/>
    </row>
    <row r="14" spans="1:7" s="6" customFormat="1" hidden="1" x14ac:dyDescent="0.3">
      <c r="A14" s="45"/>
      <c r="B14" s="45"/>
      <c r="C14" s="45"/>
      <c r="D14" s="163"/>
      <c r="E14" s="45"/>
      <c r="F14" s="45"/>
      <c r="G14" s="45"/>
    </row>
    <row r="15" spans="1:7" s="6" customFormat="1" hidden="1" x14ac:dyDescent="0.3">
      <c r="A15" s="45"/>
      <c r="B15" s="45"/>
      <c r="C15" s="45"/>
      <c r="D15" s="163"/>
      <c r="E15" s="45"/>
      <c r="F15" s="45"/>
      <c r="G15" s="45"/>
    </row>
    <row r="16" spans="1:7" s="6" customFormat="1" hidden="1" x14ac:dyDescent="0.3">
      <c r="A16" s="45"/>
      <c r="B16" s="45"/>
      <c r="C16" s="45"/>
      <c r="D16" s="163"/>
      <c r="E16" s="45"/>
      <c r="F16" s="45"/>
      <c r="G16" s="45"/>
    </row>
    <row r="17" spans="1:7" s="6" customFormat="1" hidden="1" x14ac:dyDescent="0.3">
      <c r="A17" s="45"/>
      <c r="B17" s="38"/>
      <c r="C17" s="38"/>
      <c r="D17" s="163"/>
      <c r="E17" s="38"/>
      <c r="F17" s="166"/>
      <c r="G17" s="38"/>
    </row>
    <row r="18" spans="1:7" s="6" customFormat="1" hidden="1" x14ac:dyDescent="0.3">
      <c r="A18" s="45"/>
      <c r="B18" s="38" t="s">
        <v>189</v>
      </c>
      <c r="C18" s="38"/>
      <c r="D18" s="163"/>
      <c r="E18" s="38"/>
      <c r="F18" s="166" t="s">
        <v>190</v>
      </c>
      <c r="G18" s="38"/>
    </row>
    <row r="19" spans="1:7" s="6" customFormat="1" hidden="1" x14ac:dyDescent="0.3">
      <c r="A19" s="45"/>
      <c r="B19" s="45" t="s">
        <v>63</v>
      </c>
      <c r="C19" s="45"/>
      <c r="D19" s="163"/>
      <c r="E19" s="45"/>
      <c r="F19" s="45" t="s">
        <v>116</v>
      </c>
      <c r="G19" s="45"/>
    </row>
    <row r="20" spans="1:7" ht="6.75" hidden="1" customHeight="1" x14ac:dyDescent="0.35">
      <c r="A20" s="167"/>
      <c r="B20" s="167"/>
      <c r="C20" s="167"/>
      <c r="D20" s="167"/>
      <c r="E20" s="167"/>
      <c r="F20" s="167"/>
      <c r="G20" s="167"/>
    </row>
    <row r="21" spans="1:7" hidden="1" x14ac:dyDescent="0.35">
      <c r="A21" s="167"/>
      <c r="B21" s="167"/>
      <c r="C21" s="167"/>
      <c r="D21" s="167"/>
      <c r="E21" s="167"/>
      <c r="F21" s="167"/>
      <c r="G21" s="167"/>
    </row>
    <row r="22" spans="1:7" hidden="1" x14ac:dyDescent="0.35">
      <c r="A22" s="167"/>
      <c r="B22" s="167"/>
      <c r="C22" s="167"/>
      <c r="D22" s="167"/>
      <c r="E22" s="167"/>
      <c r="F22" s="167"/>
      <c r="G22" s="167"/>
    </row>
    <row r="23" spans="1:7" hidden="1" x14ac:dyDescent="0.35">
      <c r="A23" s="167"/>
      <c r="B23" s="167"/>
      <c r="C23" s="167"/>
      <c r="D23" s="167"/>
      <c r="E23" s="167"/>
      <c r="F23" s="167"/>
      <c r="G23" s="167"/>
    </row>
    <row r="24" spans="1:7" ht="16.2" hidden="1" x14ac:dyDescent="0.35">
      <c r="A24" s="626" t="str">
        <f>bs!A1</f>
        <v xml:space="preserve"> M/S XYZ CO.</v>
      </c>
      <c r="B24" s="626"/>
      <c r="C24" s="626"/>
      <c r="D24" s="626"/>
      <c r="E24" s="626"/>
      <c r="F24" s="626"/>
      <c r="G24" s="626"/>
    </row>
    <row r="25" spans="1:7" ht="16.2" hidden="1" x14ac:dyDescent="0.35">
      <c r="A25" s="627" t="s">
        <v>175</v>
      </c>
      <c r="B25" s="627"/>
      <c r="C25" s="627"/>
      <c r="D25" s="627"/>
      <c r="E25" s="627"/>
      <c r="F25" s="627"/>
      <c r="G25" s="627"/>
    </row>
    <row r="26" spans="1:7" hidden="1" x14ac:dyDescent="0.35">
      <c r="A26" s="3"/>
      <c r="B26" s="167"/>
      <c r="C26" s="167"/>
      <c r="D26" s="167"/>
      <c r="E26" s="167"/>
      <c r="F26" s="167"/>
      <c r="G26" s="167"/>
    </row>
    <row r="27" spans="1:7" s="6" customFormat="1" hidden="1" x14ac:dyDescent="0.3">
      <c r="A27" s="39" t="s">
        <v>171</v>
      </c>
      <c r="B27" s="45"/>
      <c r="C27" s="45"/>
      <c r="D27" s="45"/>
      <c r="E27" s="45"/>
      <c r="F27" s="45"/>
      <c r="G27" s="45"/>
    </row>
    <row r="28" spans="1:7" s="6" customFormat="1" hidden="1" x14ac:dyDescent="0.3">
      <c r="A28" s="45"/>
      <c r="B28" s="45"/>
      <c r="C28" s="45"/>
      <c r="D28" s="45"/>
      <c r="E28" s="45"/>
      <c r="F28" s="45"/>
      <c r="G28" s="45"/>
    </row>
    <row r="29" spans="1:7" s="6" customFormat="1" hidden="1" x14ac:dyDescent="0.3">
      <c r="A29" s="624" t="s">
        <v>232</v>
      </c>
      <c r="B29" s="625"/>
      <c r="C29" s="146"/>
      <c r="D29" s="147"/>
      <c r="E29" s="147"/>
      <c r="F29" s="147"/>
      <c r="G29" s="148" t="s">
        <v>0</v>
      </c>
    </row>
    <row r="30" spans="1:7" s="6" customFormat="1" ht="57.6" hidden="1" x14ac:dyDescent="0.3">
      <c r="A30" s="40" t="s">
        <v>37</v>
      </c>
      <c r="B30" s="40" t="s">
        <v>117</v>
      </c>
      <c r="C30" s="40" t="s">
        <v>176</v>
      </c>
      <c r="D30" s="40" t="s">
        <v>66</v>
      </c>
      <c r="E30" s="41" t="s">
        <v>38</v>
      </c>
      <c r="F30" s="40" t="s">
        <v>39</v>
      </c>
      <c r="G30" s="40" t="s">
        <v>177</v>
      </c>
    </row>
    <row r="31" spans="1:7" s="6" customFormat="1" hidden="1" x14ac:dyDescent="0.3">
      <c r="A31" s="149">
        <v>1</v>
      </c>
      <c r="B31" s="42" t="s">
        <v>188</v>
      </c>
      <c r="C31" s="150">
        <f>G34</f>
        <v>7208848.2685000002</v>
      </c>
      <c r="D31" s="150">
        <f>22111.6-13095</f>
        <v>9016.5999999999985</v>
      </c>
      <c r="E31" s="168">
        <v>2806454.8</v>
      </c>
      <c r="F31" s="151">
        <f>'p&amp;l'!F24</f>
        <v>0</v>
      </c>
      <c r="G31" s="150">
        <f>C31+D31-E31+F31</f>
        <v>4411410.0685000001</v>
      </c>
    </row>
    <row r="32" spans="1:7" s="6" customFormat="1" hidden="1" x14ac:dyDescent="0.3">
      <c r="A32" s="152"/>
      <c r="B32" s="43"/>
      <c r="C32" s="153"/>
      <c r="D32" s="154"/>
      <c r="E32" s="155"/>
      <c r="F32" s="156"/>
      <c r="G32" s="157"/>
    </row>
    <row r="33" spans="1:7" s="6" customFormat="1" hidden="1" x14ac:dyDescent="0.3">
      <c r="A33" s="158"/>
      <c r="B33" s="44"/>
      <c r="C33" s="159">
        <f>SUM(C31:C32)</f>
        <v>7208848.2685000002</v>
      </c>
      <c r="D33" s="160">
        <f>SUM(D31:D32)</f>
        <v>9016.5999999999985</v>
      </c>
      <c r="E33" s="161">
        <f>SUM(E31:E32)</f>
        <v>2806454.8</v>
      </c>
      <c r="F33" s="162">
        <f>SUM(F31:F32)</f>
        <v>0</v>
      </c>
      <c r="G33" s="160">
        <f>C33+D33-E33+F33</f>
        <v>4411410.0685000001</v>
      </c>
    </row>
    <row r="34" spans="1:7" s="6" customFormat="1" hidden="1" x14ac:dyDescent="0.3">
      <c r="A34" s="624" t="s">
        <v>40</v>
      </c>
      <c r="B34" s="625"/>
      <c r="C34" s="160">
        <v>5646494.5</v>
      </c>
      <c r="D34" s="169">
        <v>2298736</v>
      </c>
      <c r="E34" s="170">
        <v>1489928.29</v>
      </c>
      <c r="F34" s="160">
        <v>753546.05850000028</v>
      </c>
      <c r="G34" s="160">
        <f>C34+D34-E34+F34</f>
        <v>7208848.2685000002</v>
      </c>
    </row>
    <row r="35" spans="1:7" s="48" customFormat="1" hidden="1" x14ac:dyDescent="0.3">
      <c r="A35" s="163"/>
      <c r="B35" s="163"/>
      <c r="C35" s="36"/>
      <c r="D35" s="163"/>
      <c r="E35" s="163"/>
      <c r="F35" s="163"/>
      <c r="G35" s="164"/>
    </row>
    <row r="36" spans="1:7" s="48" customFormat="1" ht="15.6" hidden="1" customHeight="1" x14ac:dyDescent="0.3">
      <c r="A36" s="163"/>
      <c r="B36" s="163"/>
      <c r="C36" s="36"/>
      <c r="D36" s="163"/>
      <c r="E36" s="163"/>
      <c r="F36" s="163"/>
      <c r="G36" s="165"/>
    </row>
    <row r="37" spans="1:7" s="6" customFormat="1" x14ac:dyDescent="0.3">
      <c r="A37" s="45"/>
      <c r="B37" s="45"/>
      <c r="C37" s="45"/>
      <c r="D37" s="163"/>
      <c r="E37" s="45"/>
      <c r="F37" s="45"/>
      <c r="G37" s="45"/>
    </row>
  </sheetData>
  <mergeCells count="8">
    <mergeCell ref="A29:B29"/>
    <mergeCell ref="A34:B34"/>
    <mergeCell ref="A24:G24"/>
    <mergeCell ref="A25:G25"/>
    <mergeCell ref="A1:G1"/>
    <mergeCell ref="A2:G2"/>
    <mergeCell ref="A6:B6"/>
    <mergeCell ref="A11:B11"/>
  </mergeCells>
  <pageMargins left="0.70866141732283472" right="0.70866141732283472" top="0.74803149606299213" bottom="0.74803149606299213" header="0.31496062992125984" footer="0.31496062992125984"/>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62"/>
  <sheetViews>
    <sheetView topLeftCell="A34" zoomScale="85" zoomScaleNormal="85" zoomScaleSheetLayoutView="115" workbookViewId="0">
      <selection activeCell="A34" sqref="A1:A1048576"/>
    </sheetView>
  </sheetViews>
  <sheetFormatPr defaultColWidth="8.6640625" defaultRowHeight="14.4" x14ac:dyDescent="0.3"/>
  <cols>
    <col min="1" max="1" width="7.33203125" style="6" bestFit="1" customWidth="1"/>
    <col min="2" max="2" width="66.5546875" style="6" customWidth="1"/>
    <col min="3" max="3" width="13" style="6" customWidth="1"/>
    <col min="4" max="4" width="21.5546875" style="6" customWidth="1"/>
    <col min="5" max="5" width="21.88671875" style="6" customWidth="1"/>
    <col min="6" max="16384" width="8.6640625" style="6"/>
  </cols>
  <sheetData>
    <row r="1" spans="1:6" ht="18.600000000000001" customHeight="1" x14ac:dyDescent="0.3">
      <c r="A1" s="668" t="str">
        <f>bs!A1</f>
        <v xml:space="preserve"> M/S XYZ CO.</v>
      </c>
      <c r="B1" s="668"/>
      <c r="C1" s="668"/>
      <c r="D1" s="668"/>
      <c r="E1" s="668"/>
      <c r="F1" s="667"/>
    </row>
    <row r="2" spans="1:6" x14ac:dyDescent="0.3">
      <c r="A2" s="668" t="str">
        <f>capital!A2</f>
        <v>Notes forming part of the Financial Statements  for the year ended, 31st March, 2025</v>
      </c>
      <c r="B2" s="668"/>
      <c r="C2" s="668"/>
      <c r="D2" s="668"/>
      <c r="E2" s="668"/>
      <c r="F2" s="667"/>
    </row>
    <row r="3" spans="1:6" x14ac:dyDescent="0.3">
      <c r="A3" s="670"/>
      <c r="B3" s="671"/>
      <c r="C3" s="672"/>
      <c r="D3" s="672"/>
      <c r="E3" s="669" t="s">
        <v>0</v>
      </c>
      <c r="F3" s="667"/>
    </row>
    <row r="4" spans="1:6" ht="21" customHeight="1" x14ac:dyDescent="0.3">
      <c r="A4" s="186">
        <f>bs!D11</f>
        <v>3</v>
      </c>
      <c r="B4" s="187" t="s">
        <v>257</v>
      </c>
      <c r="C4" s="188"/>
      <c r="D4" s="174" t="s">
        <v>245</v>
      </c>
      <c r="E4" s="174" t="s">
        <v>235</v>
      </c>
    </row>
    <row r="5" spans="1:6" ht="16.5" customHeight="1" x14ac:dyDescent="0.3">
      <c r="A5" s="189"/>
      <c r="B5" s="190" t="s">
        <v>258</v>
      </c>
      <c r="C5" s="45"/>
      <c r="D5" s="191"/>
      <c r="E5" s="175"/>
    </row>
    <row r="6" spans="1:6" x14ac:dyDescent="0.3">
      <c r="A6" s="189"/>
      <c r="B6" s="192" t="s">
        <v>259</v>
      </c>
      <c r="C6" s="45"/>
      <c r="D6" s="193"/>
      <c r="E6" s="175"/>
    </row>
    <row r="7" spans="1:6" x14ac:dyDescent="0.3">
      <c r="A7" s="189"/>
      <c r="B7" s="189" t="s">
        <v>260</v>
      </c>
      <c r="C7" s="45"/>
      <c r="D7" s="193"/>
      <c r="E7" s="175"/>
    </row>
    <row r="8" spans="1:6" x14ac:dyDescent="0.3">
      <c r="A8" s="189"/>
      <c r="B8" s="189" t="s">
        <v>261</v>
      </c>
      <c r="C8" s="45"/>
      <c r="D8" s="193"/>
      <c r="E8" s="175"/>
    </row>
    <row r="9" spans="1:6" x14ac:dyDescent="0.3">
      <c r="A9" s="37"/>
      <c r="B9" s="105"/>
      <c r="D9" s="193"/>
      <c r="E9" s="175"/>
    </row>
    <row r="10" spans="1:6" x14ac:dyDescent="0.3">
      <c r="A10" s="37"/>
      <c r="B10" s="258" t="s">
        <v>68</v>
      </c>
      <c r="C10" s="117"/>
      <c r="D10" s="177">
        <f>SUM(D7:D8)</f>
        <v>0</v>
      </c>
      <c r="E10" s="177">
        <f>SUM(E7:E8)</f>
        <v>0</v>
      </c>
    </row>
    <row r="11" spans="1:6" x14ac:dyDescent="0.3">
      <c r="A11" s="37"/>
      <c r="B11" s="119"/>
      <c r="C11" s="99"/>
      <c r="D11" s="459"/>
      <c r="E11" s="178"/>
    </row>
    <row r="12" spans="1:6" x14ac:dyDescent="0.3">
      <c r="A12" s="37"/>
      <c r="B12" s="413" t="s">
        <v>262</v>
      </c>
      <c r="D12" s="193"/>
      <c r="E12" s="175"/>
    </row>
    <row r="13" spans="1:6" x14ac:dyDescent="0.3">
      <c r="A13" s="37"/>
      <c r="B13" s="192" t="s">
        <v>259</v>
      </c>
      <c r="D13" s="193"/>
      <c r="E13" s="175"/>
    </row>
    <row r="14" spans="1:6" x14ac:dyDescent="0.3">
      <c r="A14" s="37"/>
      <c r="B14" s="189" t="s">
        <v>260</v>
      </c>
      <c r="D14" s="193"/>
      <c r="E14" s="175"/>
    </row>
    <row r="15" spans="1:6" x14ac:dyDescent="0.3">
      <c r="A15" s="37"/>
      <c r="B15" s="189" t="s">
        <v>264</v>
      </c>
      <c r="D15" s="528">
        <f>Details!D13</f>
        <v>0</v>
      </c>
      <c r="E15" s="528">
        <f>Details!E13</f>
        <v>0</v>
      </c>
    </row>
    <row r="16" spans="1:6" x14ac:dyDescent="0.3">
      <c r="A16" s="37"/>
      <c r="B16" s="189" t="s">
        <v>261</v>
      </c>
      <c r="D16" s="193"/>
      <c r="E16" s="185"/>
    </row>
    <row r="17" spans="1:5" x14ac:dyDescent="0.3">
      <c r="A17" s="37"/>
      <c r="B17" s="189"/>
      <c r="D17" s="193"/>
      <c r="E17" s="175"/>
    </row>
    <row r="18" spans="1:5" x14ac:dyDescent="0.3">
      <c r="A18" s="37"/>
      <c r="B18" s="192" t="s">
        <v>70</v>
      </c>
      <c r="C18" s="102"/>
      <c r="D18" s="529">
        <f>SUM(D14:D17)</f>
        <v>0</v>
      </c>
      <c r="E18" s="529">
        <f>SUM(E14:E17)</f>
        <v>0</v>
      </c>
    </row>
    <row r="19" spans="1:5" x14ac:dyDescent="0.3">
      <c r="A19" s="121"/>
      <c r="B19" s="315" t="s">
        <v>71</v>
      </c>
      <c r="C19" s="108"/>
      <c r="D19" s="530">
        <f>+D18+D10</f>
        <v>0</v>
      </c>
      <c r="E19" s="530">
        <f>+E18+E10</f>
        <v>0</v>
      </c>
    </row>
    <row r="20" spans="1:5" ht="15.9" customHeight="1" x14ac:dyDescent="0.3">
      <c r="B20" s="99"/>
      <c r="E20" s="77"/>
    </row>
    <row r="21" spans="1:5" x14ac:dyDescent="0.3">
      <c r="E21" s="673"/>
    </row>
    <row r="22" spans="1:5" x14ac:dyDescent="0.3">
      <c r="A22" s="186">
        <f>bs!D14</f>
        <v>3</v>
      </c>
      <c r="B22" s="187" t="s">
        <v>203</v>
      </c>
      <c r="C22" s="117"/>
      <c r="D22" s="174" t="str">
        <f>D4</f>
        <v>As at 31.03.2025</v>
      </c>
      <c r="E22" s="174" t="str">
        <f>E4</f>
        <v>As at 31.03.2024</v>
      </c>
    </row>
    <row r="23" spans="1:5" x14ac:dyDescent="0.3">
      <c r="A23" s="414"/>
      <c r="B23" s="190" t="s">
        <v>67</v>
      </c>
      <c r="C23" s="118"/>
      <c r="D23" s="109"/>
      <c r="E23" s="181"/>
    </row>
    <row r="24" spans="1:5" x14ac:dyDescent="0.3">
      <c r="A24" s="415"/>
      <c r="B24" s="192" t="s">
        <v>222</v>
      </c>
      <c r="C24" s="102"/>
      <c r="D24" s="101"/>
      <c r="E24" s="182"/>
    </row>
    <row r="25" spans="1:5" x14ac:dyDescent="0.3">
      <c r="A25" s="415"/>
      <c r="B25" s="219" t="s">
        <v>329</v>
      </c>
      <c r="C25" s="102"/>
      <c r="D25" s="120"/>
      <c r="E25" s="176">
        <v>0</v>
      </c>
    </row>
    <row r="26" spans="1:5" ht="28.8" x14ac:dyDescent="0.3">
      <c r="A26" s="415"/>
      <c r="B26" s="219" t="s">
        <v>263</v>
      </c>
      <c r="C26" s="102"/>
      <c r="D26" s="101"/>
      <c r="E26" s="183"/>
    </row>
    <row r="27" spans="1:5" x14ac:dyDescent="0.3">
      <c r="A27" s="415"/>
      <c r="B27" s="219"/>
      <c r="C27" s="102"/>
      <c r="D27" s="101"/>
      <c r="E27" s="183"/>
    </row>
    <row r="28" spans="1:5" x14ac:dyDescent="0.3">
      <c r="A28" s="189"/>
      <c r="B28" s="299"/>
      <c r="C28" s="108"/>
      <c r="D28" s="110"/>
      <c r="E28" s="45"/>
    </row>
    <row r="29" spans="1:5" x14ac:dyDescent="0.3">
      <c r="A29" s="416"/>
      <c r="B29" s="258" t="s">
        <v>68</v>
      </c>
      <c r="C29" s="117"/>
      <c r="D29" s="177">
        <f>SUM(D25:D26)</f>
        <v>0</v>
      </c>
      <c r="E29" s="177">
        <f>SUM(E25:E26)</f>
        <v>0</v>
      </c>
    </row>
    <row r="30" spans="1:5" x14ac:dyDescent="0.3">
      <c r="A30" s="306"/>
      <c r="B30" s="192" t="s">
        <v>69</v>
      </c>
      <c r="C30" s="118"/>
      <c r="D30" s="45"/>
      <c r="E30" s="122"/>
    </row>
    <row r="31" spans="1:5" ht="15.9" customHeight="1" x14ac:dyDescent="0.3">
      <c r="A31" s="415"/>
      <c r="B31" s="192" t="s">
        <v>223</v>
      </c>
      <c r="C31" s="102"/>
      <c r="D31" s="45"/>
      <c r="E31" s="122"/>
    </row>
    <row r="32" spans="1:5" ht="15.9" customHeight="1" x14ac:dyDescent="0.3">
      <c r="A32" s="415"/>
      <c r="B32" s="219" t="s">
        <v>161</v>
      </c>
      <c r="C32" s="102"/>
      <c r="D32" s="427"/>
      <c r="E32" s="123"/>
    </row>
    <row r="33" spans="1:6" ht="15.9" customHeight="1" x14ac:dyDescent="0.3">
      <c r="A33" s="415"/>
      <c r="B33" s="192" t="s">
        <v>70</v>
      </c>
      <c r="C33" s="102"/>
      <c r="D33" s="179">
        <f>SUM(D32:D32)</f>
        <v>0</v>
      </c>
      <c r="E33" s="179">
        <f>SUM(E32:E32)</f>
        <v>0</v>
      </c>
    </row>
    <row r="34" spans="1:6" ht="15.9" customHeight="1" x14ac:dyDescent="0.3">
      <c r="A34" s="416"/>
      <c r="B34" s="315" t="s">
        <v>71</v>
      </c>
      <c r="C34" s="108"/>
      <c r="D34" s="180">
        <f>+D33+D29</f>
        <v>0</v>
      </c>
      <c r="E34" s="180">
        <f>+E33+E29</f>
        <v>0</v>
      </c>
    </row>
    <row r="35" spans="1:6" ht="15.9" customHeight="1" x14ac:dyDescent="0.3">
      <c r="A35" s="675"/>
      <c r="B35" s="116"/>
      <c r="C35" s="99"/>
      <c r="D35" s="99"/>
      <c r="E35" s="124"/>
      <c r="F35" s="667"/>
    </row>
    <row r="36" spans="1:6" ht="15.9" customHeight="1" x14ac:dyDescent="0.3">
      <c r="A36" s="676"/>
      <c r="B36" s="417"/>
      <c r="C36" s="417"/>
      <c r="D36" s="417"/>
      <c r="E36" s="674" t="s">
        <v>0</v>
      </c>
      <c r="F36" s="667"/>
    </row>
    <row r="37" spans="1:6" ht="15.9" customHeight="1" x14ac:dyDescent="0.3">
      <c r="A37" s="418">
        <f>bs!D15</f>
        <v>4</v>
      </c>
      <c r="B37" s="419" t="s">
        <v>150</v>
      </c>
      <c r="C37" s="420"/>
      <c r="D37" s="421" t="str">
        <f>D22</f>
        <v>As at 31.03.2025</v>
      </c>
      <c r="E37" s="421" t="str">
        <f>E22</f>
        <v>As at 31.03.2024</v>
      </c>
    </row>
    <row r="38" spans="1:6" x14ac:dyDescent="0.3">
      <c r="A38" s="422"/>
      <c r="B38" s="423" t="s">
        <v>122</v>
      </c>
      <c r="C38" s="424"/>
      <c r="D38" s="291">
        <f>Details!D68</f>
        <v>0</v>
      </c>
      <c r="E38" s="291">
        <f>Details!E68</f>
        <v>0</v>
      </c>
    </row>
    <row r="39" spans="1:6" ht="28.8" x14ac:dyDescent="0.3">
      <c r="A39" s="425"/>
      <c r="B39" s="426" t="s">
        <v>123</v>
      </c>
      <c r="C39" s="286"/>
      <c r="D39" s="427">
        <f>Details!D62</f>
        <v>0</v>
      </c>
      <c r="E39" s="531">
        <f>Details!E62</f>
        <v>0</v>
      </c>
    </row>
    <row r="40" spans="1:6" x14ac:dyDescent="0.3">
      <c r="A40" s="428"/>
      <c r="B40" s="429" t="s">
        <v>151</v>
      </c>
      <c r="C40" s="288"/>
      <c r="D40" s="180">
        <f>SUM(D38:D39)</f>
        <v>0</v>
      </c>
      <c r="E40" s="530">
        <f>SUM(E38:E39)</f>
        <v>0</v>
      </c>
    </row>
    <row r="41" spans="1:6" x14ac:dyDescent="0.3">
      <c r="A41" s="428"/>
      <c r="B41" s="430" t="s">
        <v>159</v>
      </c>
      <c r="C41" s="182"/>
      <c r="D41" s="431"/>
      <c r="E41" s="182"/>
    </row>
    <row r="42" spans="1:6" x14ac:dyDescent="0.3">
      <c r="A42" s="432"/>
      <c r="B42" s="433" t="s">
        <v>1</v>
      </c>
      <c r="C42" s="278"/>
      <c r="D42" s="434" t="str">
        <f>D37</f>
        <v>As at 31.03.2025</v>
      </c>
      <c r="E42" s="434" t="str">
        <f>E37</f>
        <v>As at 31.03.2024</v>
      </c>
    </row>
    <row r="43" spans="1:6" ht="28.8" x14ac:dyDescent="0.3">
      <c r="A43" s="428"/>
      <c r="B43" s="435" t="s">
        <v>124</v>
      </c>
      <c r="C43" s="436"/>
      <c r="D43" s="437"/>
      <c r="E43" s="438"/>
    </row>
    <row r="44" spans="1:6" x14ac:dyDescent="0.3">
      <c r="A44" s="439"/>
      <c r="B44" s="219" t="s">
        <v>125</v>
      </c>
      <c r="C44" s="286"/>
      <c r="D44" s="440">
        <f>D40</f>
        <v>0</v>
      </c>
      <c r="E44" s="532">
        <f>E40</f>
        <v>0</v>
      </c>
    </row>
    <row r="45" spans="1:6" x14ac:dyDescent="0.3">
      <c r="A45" s="439"/>
      <c r="B45" s="219" t="s">
        <v>126</v>
      </c>
      <c r="C45" s="286"/>
      <c r="D45" s="271"/>
      <c r="E45" s="441"/>
    </row>
    <row r="46" spans="1:6" x14ac:dyDescent="0.3">
      <c r="A46" s="439"/>
      <c r="B46" s="192" t="s">
        <v>9</v>
      </c>
      <c r="C46" s="288"/>
      <c r="D46" s="35"/>
      <c r="E46" s="441"/>
    </row>
    <row r="47" spans="1:6" ht="43.2" x14ac:dyDescent="0.3">
      <c r="A47" s="439"/>
      <c r="B47" s="219" t="s">
        <v>127</v>
      </c>
      <c r="C47" s="286"/>
      <c r="D47" s="271"/>
      <c r="E47" s="441"/>
    </row>
    <row r="48" spans="1:6" ht="57.6" x14ac:dyDescent="0.3">
      <c r="A48" s="439"/>
      <c r="B48" s="219" t="s">
        <v>128</v>
      </c>
      <c r="C48" s="286"/>
      <c r="D48" s="271"/>
      <c r="E48" s="441"/>
    </row>
    <row r="49" spans="1:6" ht="28.8" x14ac:dyDescent="0.3">
      <c r="A49" s="439"/>
      <c r="B49" s="219" t="s">
        <v>129</v>
      </c>
      <c r="C49" s="286"/>
      <c r="D49" s="271"/>
      <c r="E49" s="441"/>
    </row>
    <row r="50" spans="1:6" ht="72" x14ac:dyDescent="0.3">
      <c r="A50" s="442"/>
      <c r="B50" s="443" t="s">
        <v>130</v>
      </c>
      <c r="C50" s="444"/>
      <c r="D50" s="445"/>
      <c r="E50" s="446"/>
    </row>
    <row r="51" spans="1:6" x14ac:dyDescent="0.3">
      <c r="A51" s="182"/>
      <c r="B51" s="46"/>
      <c r="C51" s="45"/>
      <c r="D51" s="45"/>
      <c r="E51" s="447"/>
      <c r="F51" s="667"/>
    </row>
    <row r="52" spans="1:6" x14ac:dyDescent="0.3">
      <c r="A52" s="211"/>
      <c r="B52" s="46"/>
      <c r="C52" s="46"/>
      <c r="D52" s="46"/>
      <c r="E52" s="317" t="s">
        <v>0</v>
      </c>
    </row>
    <row r="53" spans="1:6" x14ac:dyDescent="0.3">
      <c r="A53" s="277">
        <f>bs!D18</f>
        <v>5</v>
      </c>
      <c r="B53" s="258" t="s">
        <v>8</v>
      </c>
      <c r="C53" s="279"/>
      <c r="D53" s="448" t="str">
        <f>D42</f>
        <v>As at 31.03.2025</v>
      </c>
      <c r="E53" s="448" t="str">
        <f>E42</f>
        <v>As at 31.03.2024</v>
      </c>
    </row>
    <row r="54" spans="1:6" x14ac:dyDescent="0.3">
      <c r="A54" s="449"/>
      <c r="B54" s="219"/>
      <c r="C54" s="288"/>
      <c r="D54" s="506"/>
      <c r="E54" s="506"/>
    </row>
    <row r="55" spans="1:6" x14ac:dyDescent="0.3">
      <c r="A55" s="449"/>
      <c r="B55" s="219"/>
      <c r="C55" s="288"/>
      <c r="D55" s="506"/>
      <c r="E55" s="506"/>
    </row>
    <row r="56" spans="1:6" x14ac:dyDescent="0.3">
      <c r="A56" s="449"/>
      <c r="B56" s="219"/>
      <c r="C56" s="288"/>
      <c r="D56" s="506"/>
      <c r="E56" s="506"/>
    </row>
    <row r="57" spans="1:6" x14ac:dyDescent="0.3">
      <c r="A57" s="449"/>
      <c r="B57" s="219"/>
      <c r="C57" s="288"/>
      <c r="D57" s="506"/>
      <c r="E57" s="506"/>
    </row>
    <row r="58" spans="1:6" x14ac:dyDescent="0.3">
      <c r="A58" s="449"/>
      <c r="B58" s="219"/>
      <c r="C58" s="288"/>
      <c r="D58" s="506"/>
      <c r="E58" s="506"/>
    </row>
    <row r="59" spans="1:6" x14ac:dyDescent="0.3">
      <c r="A59" s="449"/>
      <c r="B59" s="219"/>
      <c r="C59" s="288"/>
      <c r="D59" s="506"/>
      <c r="E59" s="506"/>
    </row>
    <row r="60" spans="1:6" x14ac:dyDescent="0.3">
      <c r="A60" s="449"/>
      <c r="B60" s="219"/>
      <c r="C60" s="288"/>
      <c r="D60" s="506"/>
      <c r="E60" s="506"/>
    </row>
    <row r="61" spans="1:6" x14ac:dyDescent="0.3">
      <c r="A61" s="449"/>
      <c r="B61" s="219"/>
      <c r="C61" s="288"/>
      <c r="D61" s="506"/>
      <c r="E61" s="506"/>
    </row>
    <row r="62" spans="1:6" x14ac:dyDescent="0.3">
      <c r="A62" s="449"/>
      <c r="B62" s="219"/>
      <c r="C62" s="288"/>
      <c r="D62" s="506"/>
      <c r="E62" s="506"/>
    </row>
    <row r="63" spans="1:6" x14ac:dyDescent="0.3">
      <c r="A63" s="449"/>
      <c r="B63" s="219"/>
      <c r="C63" s="288"/>
      <c r="D63" s="506"/>
      <c r="E63" s="506"/>
    </row>
    <row r="64" spans="1:6" x14ac:dyDescent="0.3">
      <c r="A64" s="449"/>
      <c r="B64" s="219"/>
      <c r="C64" s="288"/>
      <c r="D64" s="506"/>
      <c r="E64" s="506"/>
    </row>
    <row r="65" spans="1:6" x14ac:dyDescent="0.3">
      <c r="A65" s="450"/>
      <c r="B65" s="433" t="s">
        <v>56</v>
      </c>
      <c r="C65" s="278"/>
      <c r="D65" s="533">
        <f>SUM(D54:D64)</f>
        <v>0</v>
      </c>
      <c r="E65" s="533">
        <f>SUM(E54:E64)</f>
        <v>0</v>
      </c>
    </row>
    <row r="66" spans="1:6" x14ac:dyDescent="0.3">
      <c r="A66" s="451"/>
      <c r="B66" s="35"/>
      <c r="C66" s="35"/>
      <c r="D66" s="35"/>
      <c r="E66" s="452"/>
      <c r="F66" s="667"/>
    </row>
    <row r="67" spans="1:6" x14ac:dyDescent="0.3">
      <c r="A67" s="451"/>
      <c r="B67" s="35"/>
      <c r="C67" s="35"/>
      <c r="D67" s="35"/>
      <c r="E67" s="317" t="s">
        <v>0</v>
      </c>
    </row>
    <row r="68" spans="1:6" x14ac:dyDescent="0.3">
      <c r="A68" s="453">
        <f>bs!D19</f>
        <v>6</v>
      </c>
      <c r="B68" s="258" t="s">
        <v>229</v>
      </c>
      <c r="C68" s="279"/>
      <c r="D68" s="454" t="str">
        <f>D4</f>
        <v>As at 31.03.2025</v>
      </c>
      <c r="E68" s="454" t="str">
        <f>E4</f>
        <v>As at 31.03.2024</v>
      </c>
      <c r="F68" s="37"/>
    </row>
    <row r="69" spans="1:6" x14ac:dyDescent="0.3">
      <c r="A69" s="455"/>
      <c r="B69" s="456" t="s">
        <v>230</v>
      </c>
      <c r="C69" s="297"/>
      <c r="D69" s="457">
        <f>'p&amp;l'!E20</f>
        <v>0</v>
      </c>
      <c r="E69" s="457">
        <f>'p&amp;l'!F20</f>
        <v>0</v>
      </c>
    </row>
    <row r="70" spans="1:6" x14ac:dyDescent="0.3">
      <c r="A70" s="458"/>
      <c r="B70" s="456"/>
      <c r="C70" s="294"/>
      <c r="D70" s="35"/>
      <c r="E70" s="459"/>
    </row>
    <row r="71" spans="1:6" x14ac:dyDescent="0.3">
      <c r="A71" s="386"/>
      <c r="B71" s="258" t="s">
        <v>229</v>
      </c>
      <c r="C71" s="279"/>
      <c r="D71" s="177">
        <f>SUM(D69:D70)</f>
        <v>0</v>
      </c>
      <c r="E71" s="177">
        <f>SUM(E69:E70)</f>
        <v>0</v>
      </c>
    </row>
    <row r="72" spans="1:6" x14ac:dyDescent="0.3">
      <c r="A72" s="451"/>
      <c r="B72" s="35"/>
      <c r="C72" s="35"/>
      <c r="D72" s="35"/>
      <c r="E72" s="452"/>
    </row>
    <row r="73" spans="1:6" x14ac:dyDescent="0.3">
      <c r="A73" s="451"/>
      <c r="B73" s="35"/>
      <c r="C73" s="35"/>
      <c r="D73" s="35"/>
      <c r="E73" s="677"/>
      <c r="F73" s="667"/>
    </row>
    <row r="74" spans="1:6" x14ac:dyDescent="0.3">
      <c r="A74" s="451"/>
      <c r="B74" s="35"/>
      <c r="C74" s="35"/>
      <c r="D74" s="35"/>
      <c r="E74" s="677"/>
    </row>
    <row r="75" spans="1:6" x14ac:dyDescent="0.3">
      <c r="A75" s="45"/>
      <c r="B75" s="38"/>
      <c r="C75" s="45"/>
      <c r="D75" s="45"/>
      <c r="E75" s="665"/>
    </row>
    <row r="76" spans="1:6" x14ac:dyDescent="0.3">
      <c r="A76" s="45"/>
      <c r="B76" s="45"/>
      <c r="C76" s="45"/>
      <c r="D76" s="45"/>
      <c r="E76" s="666"/>
    </row>
    <row r="77" spans="1:6" x14ac:dyDescent="0.3">
      <c r="A77" s="400" t="str">
        <f>bs!A1</f>
        <v xml:space="preserve"> M/S XYZ CO.</v>
      </c>
      <c r="B77" s="269"/>
      <c r="C77" s="269"/>
      <c r="D77" s="269"/>
      <c r="E77" s="678"/>
    </row>
    <row r="78" spans="1:6" x14ac:dyDescent="0.3">
      <c r="A78" s="400" t="str">
        <f>A2</f>
        <v>Notes forming part of the Financial Statements  for the year ended, 31st March, 2025</v>
      </c>
      <c r="B78" s="269"/>
      <c r="C78" s="269"/>
      <c r="D78" s="269"/>
      <c r="E78" s="678"/>
    </row>
    <row r="79" spans="1:6" x14ac:dyDescent="0.3">
      <c r="A79" s="38"/>
      <c r="B79" s="45"/>
      <c r="C79" s="45"/>
      <c r="D79" s="45"/>
      <c r="E79" s="679"/>
    </row>
    <row r="80" spans="1:6" x14ac:dyDescent="0.3">
      <c r="A80" s="453">
        <f>bs!D27</f>
        <v>8</v>
      </c>
      <c r="B80" s="258" t="s">
        <v>279</v>
      </c>
      <c r="C80" s="279"/>
      <c r="D80" s="461" t="str">
        <f>bs!E4</f>
        <v>As at 31.03.2025</v>
      </c>
      <c r="E80" s="461" t="str">
        <f>bs!F4</f>
        <v>As at 31.03.2024</v>
      </c>
    </row>
    <row r="81" spans="1:6" x14ac:dyDescent="0.3">
      <c r="A81" s="455"/>
      <c r="B81" s="456" t="s">
        <v>277</v>
      </c>
      <c r="C81" s="297"/>
      <c r="D81" s="457">
        <v>0</v>
      </c>
      <c r="E81" s="457">
        <v>0</v>
      </c>
    </row>
    <row r="82" spans="1:6" x14ac:dyDescent="0.3">
      <c r="A82" s="458"/>
      <c r="B82" s="456"/>
      <c r="C82" s="288"/>
      <c r="D82" s="650"/>
      <c r="E82" s="291"/>
    </row>
    <row r="83" spans="1:6" x14ac:dyDescent="0.3">
      <c r="A83" s="458"/>
      <c r="B83" s="456"/>
      <c r="C83" s="288"/>
      <c r="D83" s="650"/>
      <c r="E83" s="291"/>
    </row>
    <row r="84" spans="1:6" x14ac:dyDescent="0.3">
      <c r="A84" s="458"/>
      <c r="B84" s="456"/>
      <c r="C84" s="294"/>
      <c r="D84" s="35"/>
      <c r="E84" s="459"/>
    </row>
    <row r="85" spans="1:6" x14ac:dyDescent="0.3">
      <c r="A85" s="386"/>
      <c r="B85" s="258" t="s">
        <v>229</v>
      </c>
      <c r="C85" s="279"/>
      <c r="D85" s="177">
        <f>SUM(D81:D84)</f>
        <v>0</v>
      </c>
      <c r="E85" s="177">
        <f>SUM(E81:E84)</f>
        <v>0</v>
      </c>
    </row>
    <row r="86" spans="1:6" x14ac:dyDescent="0.3">
      <c r="A86" s="38"/>
      <c r="B86" s="45"/>
      <c r="C86" s="45"/>
      <c r="D86" s="45"/>
      <c r="E86" s="302"/>
      <c r="F86" s="667"/>
    </row>
    <row r="87" spans="1:6" x14ac:dyDescent="0.3">
      <c r="A87" s="38"/>
      <c r="B87" s="45"/>
      <c r="C87" s="45"/>
      <c r="D87" s="45"/>
      <c r="E87" s="679"/>
      <c r="F87" s="667"/>
    </row>
    <row r="88" spans="1:6" x14ac:dyDescent="0.3">
      <c r="A88" s="460">
        <f>bs!D32</f>
        <v>9</v>
      </c>
      <c r="B88" s="258" t="s">
        <v>120</v>
      </c>
      <c r="C88" s="188"/>
      <c r="D88" s="461" t="str">
        <f>D4</f>
        <v>As at 31.03.2025</v>
      </c>
      <c r="E88" s="461" t="str">
        <f>E4</f>
        <v>As at 31.03.2024</v>
      </c>
    </row>
    <row r="89" spans="1:6" ht="28.8" x14ac:dyDescent="0.3">
      <c r="A89" s="462" t="s">
        <v>57</v>
      </c>
      <c r="B89" s="219" t="s">
        <v>207</v>
      </c>
      <c r="C89" s="175"/>
      <c r="D89" s="191"/>
      <c r="E89" s="463"/>
    </row>
    <row r="90" spans="1:6" x14ac:dyDescent="0.3">
      <c r="A90" s="414"/>
      <c r="B90" s="219" t="s">
        <v>82</v>
      </c>
      <c r="C90" s="175"/>
      <c r="D90" s="464"/>
      <c r="E90" s="464"/>
    </row>
    <row r="91" spans="1:6" x14ac:dyDescent="0.3">
      <c r="A91" s="414"/>
      <c r="B91" s="219" t="s">
        <v>83</v>
      </c>
      <c r="C91" s="175"/>
      <c r="D91" s="534">
        <f>Details!D129</f>
        <v>0</v>
      </c>
      <c r="E91" s="534">
        <f>Details!E129</f>
        <v>0</v>
      </c>
    </row>
    <row r="92" spans="1:6" x14ac:dyDescent="0.3">
      <c r="A92" s="414"/>
      <c r="B92" s="219" t="s">
        <v>84</v>
      </c>
      <c r="C92" s="175"/>
      <c r="D92" s="535"/>
      <c r="E92" s="535"/>
    </row>
    <row r="93" spans="1:6" x14ac:dyDescent="0.3">
      <c r="A93" s="414"/>
      <c r="B93" s="631" t="s">
        <v>68</v>
      </c>
      <c r="C93" s="632"/>
      <c r="D93" s="536">
        <f>SUM(D90:D92)</f>
        <v>0</v>
      </c>
      <c r="E93" s="536">
        <f>SUM(E90:E92)</f>
        <v>0</v>
      </c>
    </row>
    <row r="94" spans="1:6" x14ac:dyDescent="0.3">
      <c r="A94" s="414"/>
      <c r="B94" s="219"/>
      <c r="C94" s="175"/>
      <c r="D94" s="191"/>
      <c r="E94" s="464"/>
    </row>
    <row r="95" spans="1:6" ht="28.8" x14ac:dyDescent="0.3">
      <c r="A95" s="90" t="s">
        <v>58</v>
      </c>
      <c r="B95" s="219" t="s">
        <v>208</v>
      </c>
      <c r="C95" s="175"/>
      <c r="D95" s="193"/>
      <c r="E95" s="464"/>
    </row>
    <row r="96" spans="1:6" x14ac:dyDescent="0.3">
      <c r="A96" s="466"/>
      <c r="B96" s="219" t="s">
        <v>82</v>
      </c>
      <c r="C96" s="175"/>
      <c r="D96" s="464">
        <v>0</v>
      </c>
      <c r="E96" s="464">
        <v>0</v>
      </c>
    </row>
    <row r="97" spans="1:6" x14ac:dyDescent="0.3">
      <c r="A97" s="466"/>
      <c r="B97" s="219" t="s">
        <v>83</v>
      </c>
      <c r="C97" s="175"/>
      <c r="D97" s="464">
        <f>Details!D136</f>
        <v>0</v>
      </c>
      <c r="E97" s="464">
        <f>Details!E136</f>
        <v>0</v>
      </c>
    </row>
    <row r="98" spans="1:6" x14ac:dyDescent="0.3">
      <c r="A98" s="466"/>
      <c r="B98" s="219" t="s">
        <v>84</v>
      </c>
      <c r="C98" s="175"/>
      <c r="D98" s="464">
        <v>0</v>
      </c>
      <c r="E98" s="464">
        <v>0</v>
      </c>
    </row>
    <row r="99" spans="1:6" x14ac:dyDescent="0.3">
      <c r="A99" s="466"/>
      <c r="B99" s="631" t="s">
        <v>218</v>
      </c>
      <c r="C99" s="632"/>
      <c r="D99" s="465">
        <f>SUM(D96:D98)</f>
        <v>0</v>
      </c>
      <c r="E99" s="465">
        <f>SUM(E96:E98)</f>
        <v>0</v>
      </c>
    </row>
    <row r="100" spans="1:6" x14ac:dyDescent="0.3">
      <c r="A100" s="466"/>
      <c r="B100" s="219"/>
      <c r="C100" s="175"/>
      <c r="D100" s="354"/>
      <c r="E100" s="464"/>
    </row>
    <row r="101" spans="1:6" x14ac:dyDescent="0.3">
      <c r="A101" s="367"/>
      <c r="B101" s="631" t="s">
        <v>219</v>
      </c>
      <c r="C101" s="632"/>
      <c r="D101" s="537">
        <f>D93+D99</f>
        <v>0</v>
      </c>
      <c r="E101" s="537">
        <f>E93+E99</f>
        <v>0</v>
      </c>
    </row>
    <row r="102" spans="1:6" x14ac:dyDescent="0.3">
      <c r="A102" s="38"/>
      <c r="B102" s="45"/>
      <c r="C102" s="383"/>
      <c r="D102" s="193"/>
      <c r="E102" s="45"/>
      <c r="F102" s="667"/>
    </row>
    <row r="103" spans="1:6" x14ac:dyDescent="0.3">
      <c r="A103" s="211"/>
      <c r="B103" s="46"/>
      <c r="C103" s="275"/>
      <c r="D103" s="276"/>
      <c r="E103" s="47" t="s">
        <v>0</v>
      </c>
      <c r="F103" s="667"/>
    </row>
    <row r="104" spans="1:6" x14ac:dyDescent="0.3">
      <c r="A104" s="277">
        <f>bs!D33</f>
        <v>10</v>
      </c>
      <c r="B104" s="278" t="s">
        <v>42</v>
      </c>
      <c r="C104" s="279"/>
      <c r="D104" s="280" t="str">
        <f>D4</f>
        <v>As at 31.03.2025</v>
      </c>
      <c r="E104" s="280" t="str">
        <f>E4</f>
        <v>As at 31.03.2024</v>
      </c>
    </row>
    <row r="105" spans="1:6" x14ac:dyDescent="0.3">
      <c r="A105" s="281" t="s">
        <v>57</v>
      </c>
      <c r="B105" s="282" t="s">
        <v>43</v>
      </c>
      <c r="C105" s="283"/>
      <c r="D105" s="283"/>
      <c r="E105" s="284"/>
    </row>
    <row r="106" spans="1:6" ht="15.6" customHeight="1" x14ac:dyDescent="0.3">
      <c r="A106" s="285"/>
      <c r="B106" s="271" t="s">
        <v>296</v>
      </c>
      <c r="C106" s="286"/>
      <c r="D106" s="538"/>
      <c r="E106" s="538"/>
    </row>
    <row r="107" spans="1:6" ht="15.6" customHeight="1" x14ac:dyDescent="0.3">
      <c r="A107" s="285"/>
      <c r="B107" s="271"/>
      <c r="C107" s="286"/>
      <c r="D107" s="651"/>
      <c r="E107" s="651"/>
    </row>
    <row r="108" spans="1:6" ht="15.6" customHeight="1" x14ac:dyDescent="0.3">
      <c r="A108" s="285"/>
      <c r="B108" s="271"/>
      <c r="C108" s="286"/>
      <c r="D108" s="651"/>
      <c r="E108" s="651"/>
    </row>
    <row r="109" spans="1:6" ht="15.6" customHeight="1" x14ac:dyDescent="0.3">
      <c r="A109" s="285"/>
      <c r="B109" s="271"/>
      <c r="C109" s="286"/>
      <c r="D109" s="651"/>
      <c r="E109" s="651"/>
    </row>
    <row r="110" spans="1:6" x14ac:dyDescent="0.3">
      <c r="A110" s="287"/>
      <c r="B110" s="35" t="s">
        <v>68</v>
      </c>
      <c r="C110" s="288"/>
      <c r="D110" s="539">
        <f>SUM(D106:D106)</f>
        <v>0</v>
      </c>
      <c r="E110" s="540">
        <f>SUM(E106:E106)</f>
        <v>0</v>
      </c>
    </row>
    <row r="111" spans="1:6" ht="14.1" customHeight="1" x14ac:dyDescent="0.3">
      <c r="A111" s="287"/>
      <c r="B111" s="35"/>
      <c r="C111" s="288"/>
      <c r="D111" s="541"/>
      <c r="E111" s="542"/>
    </row>
    <row r="112" spans="1:6" ht="14.1" customHeight="1" x14ac:dyDescent="0.3">
      <c r="A112" s="281" t="s">
        <v>58</v>
      </c>
      <c r="B112" s="289" t="s">
        <v>44</v>
      </c>
      <c r="C112" s="290"/>
      <c r="D112" s="543"/>
      <c r="E112" s="544"/>
    </row>
    <row r="113" spans="1:6" x14ac:dyDescent="0.3">
      <c r="A113" s="285"/>
      <c r="B113" s="271" t="s">
        <v>330</v>
      </c>
      <c r="C113" s="286"/>
      <c r="D113" s="545"/>
      <c r="E113" s="546"/>
    </row>
    <row r="114" spans="1:6" x14ac:dyDescent="0.3">
      <c r="A114" s="285"/>
      <c r="B114" s="271"/>
      <c r="C114" s="286"/>
      <c r="D114" s="545"/>
      <c r="E114" s="546"/>
    </row>
    <row r="115" spans="1:6" x14ac:dyDescent="0.3">
      <c r="A115" s="285"/>
      <c r="B115" s="271"/>
      <c r="C115" s="286"/>
      <c r="D115" s="545"/>
      <c r="E115" s="546"/>
    </row>
    <row r="116" spans="1:6" x14ac:dyDescent="0.3">
      <c r="A116" s="285"/>
      <c r="B116" s="271"/>
      <c r="C116" s="286"/>
      <c r="D116" s="545"/>
      <c r="E116" s="546"/>
    </row>
    <row r="117" spans="1:6" x14ac:dyDescent="0.3">
      <c r="A117" s="285"/>
      <c r="B117" s="271"/>
      <c r="C117" s="286"/>
      <c r="D117" s="545"/>
      <c r="E117" s="546"/>
    </row>
    <row r="118" spans="1:6" x14ac:dyDescent="0.3">
      <c r="A118" s="285"/>
      <c r="B118" s="271"/>
      <c r="C118" s="286"/>
      <c r="D118" s="545"/>
      <c r="E118" s="547"/>
    </row>
    <row r="119" spans="1:6" x14ac:dyDescent="0.3">
      <c r="A119" s="287"/>
      <c r="B119" s="35" t="s">
        <v>220</v>
      </c>
      <c r="C119" s="288"/>
      <c r="D119" s="548">
        <f>SUM(D113:D118)</f>
        <v>0</v>
      </c>
      <c r="E119" s="549">
        <f>SUM(E113:E118)</f>
        <v>0</v>
      </c>
    </row>
    <row r="120" spans="1:6" x14ac:dyDescent="0.3">
      <c r="A120" s="292"/>
      <c r="B120" s="293" t="s">
        <v>221</v>
      </c>
      <c r="C120" s="294"/>
      <c r="D120" s="550">
        <f>D110+D119</f>
        <v>0</v>
      </c>
      <c r="E120" s="550">
        <f>E110+E119</f>
        <v>0</v>
      </c>
    </row>
    <row r="121" spans="1:6" x14ac:dyDescent="0.3">
      <c r="A121" s="451"/>
      <c r="B121" s="35"/>
      <c r="C121" s="45"/>
      <c r="D121" s="45"/>
      <c r="E121" s="467"/>
      <c r="F121" s="667"/>
    </row>
    <row r="122" spans="1:6" x14ac:dyDescent="0.3">
      <c r="A122" s="211"/>
      <c r="B122" s="211"/>
      <c r="C122" s="211"/>
      <c r="D122" s="211"/>
      <c r="E122" s="317" t="s">
        <v>0</v>
      </c>
      <c r="F122" s="667"/>
    </row>
    <row r="123" spans="1:6" x14ac:dyDescent="0.3">
      <c r="A123" s="295">
        <f>bs!D34</f>
        <v>11</v>
      </c>
      <c r="B123" s="296" t="s">
        <v>204</v>
      </c>
      <c r="C123" s="297"/>
      <c r="D123" s="628" t="str">
        <f>D4</f>
        <v>As at 31.03.2025</v>
      </c>
      <c r="E123" s="628" t="str">
        <f>E4</f>
        <v>As at 31.03.2024</v>
      </c>
    </row>
    <row r="124" spans="1:6" x14ac:dyDescent="0.3">
      <c r="A124" s="298"/>
      <c r="B124" s="299"/>
      <c r="C124" s="300"/>
      <c r="D124" s="629"/>
      <c r="E124" s="629"/>
    </row>
    <row r="125" spans="1:6" x14ac:dyDescent="0.3">
      <c r="A125" s="193"/>
      <c r="B125" s="301" t="s">
        <v>212</v>
      </c>
      <c r="C125" s="302"/>
      <c r="D125" s="191"/>
      <c r="E125" s="303"/>
    </row>
    <row r="126" spans="1:6" x14ac:dyDescent="0.3">
      <c r="A126" s="304" t="s">
        <v>57</v>
      </c>
      <c r="B126" s="305" t="s">
        <v>213</v>
      </c>
      <c r="C126" s="182"/>
      <c r="D126" s="306"/>
      <c r="E126" s="307"/>
    </row>
    <row r="127" spans="1:6" x14ac:dyDescent="0.3">
      <c r="A127" s="304"/>
      <c r="B127" s="305"/>
      <c r="C127" s="182"/>
      <c r="D127" s="306"/>
      <c r="E127" s="307"/>
    </row>
    <row r="128" spans="1:6" x14ac:dyDescent="0.3">
      <c r="A128" s="304"/>
      <c r="B128" s="305"/>
      <c r="C128" s="182"/>
      <c r="D128" s="306"/>
      <c r="E128" s="307"/>
    </row>
    <row r="129" spans="1:5" x14ac:dyDescent="0.3">
      <c r="A129" s="304"/>
      <c r="B129" s="305"/>
      <c r="C129" s="182"/>
      <c r="D129" s="306"/>
      <c r="E129" s="307"/>
    </row>
    <row r="130" spans="1:5" x14ac:dyDescent="0.3">
      <c r="A130" s="304"/>
      <c r="B130" s="305"/>
      <c r="C130" s="182"/>
      <c r="D130" s="306"/>
      <c r="E130" s="307"/>
    </row>
    <row r="131" spans="1:5" x14ac:dyDescent="0.3">
      <c r="A131" s="304"/>
      <c r="B131" s="308"/>
      <c r="C131" s="182"/>
      <c r="D131" s="306"/>
      <c r="E131" s="307"/>
    </row>
    <row r="132" spans="1:5" x14ac:dyDescent="0.3">
      <c r="A132" s="304"/>
      <c r="B132" s="308" t="s">
        <v>68</v>
      </c>
      <c r="C132" s="182"/>
      <c r="D132" s="274">
        <f>D131</f>
        <v>0</v>
      </c>
      <c r="E132" s="274">
        <f>E131</f>
        <v>0</v>
      </c>
    </row>
    <row r="133" spans="1:5" x14ac:dyDescent="0.3">
      <c r="A133" s="304" t="s">
        <v>58</v>
      </c>
      <c r="B133" s="305" t="s">
        <v>214</v>
      </c>
      <c r="C133" s="182"/>
      <c r="D133" s="306"/>
      <c r="E133" s="307"/>
    </row>
    <row r="134" spans="1:5" x14ac:dyDescent="0.3">
      <c r="A134" s="304"/>
      <c r="B134" s="652"/>
      <c r="C134" s="182"/>
      <c r="D134" s="306"/>
      <c r="E134" s="307"/>
    </row>
    <row r="135" spans="1:5" x14ac:dyDescent="0.3">
      <c r="A135" s="304"/>
      <c r="B135" s="652"/>
      <c r="C135" s="182"/>
      <c r="D135" s="306"/>
      <c r="E135" s="307"/>
    </row>
    <row r="136" spans="1:5" x14ac:dyDescent="0.3">
      <c r="A136" s="304"/>
      <c r="B136" s="652"/>
      <c r="C136" s="182"/>
      <c r="D136" s="306"/>
      <c r="E136" s="307"/>
    </row>
    <row r="137" spans="1:5" x14ac:dyDescent="0.3">
      <c r="A137" s="304"/>
      <c r="B137" s="652"/>
      <c r="C137" s="182"/>
      <c r="D137" s="306"/>
      <c r="E137" s="307"/>
    </row>
    <row r="138" spans="1:5" x14ac:dyDescent="0.3">
      <c r="A138" s="304"/>
      <c r="B138" s="312"/>
      <c r="C138" s="182"/>
      <c r="D138" s="306"/>
      <c r="E138" s="504"/>
    </row>
    <row r="139" spans="1:5" x14ac:dyDescent="0.3">
      <c r="A139" s="304"/>
      <c r="B139" s="312"/>
      <c r="C139" s="182"/>
      <c r="D139" s="306"/>
      <c r="E139" s="504"/>
    </row>
    <row r="140" spans="1:5" x14ac:dyDescent="0.3">
      <c r="A140" s="304"/>
      <c r="B140" s="312"/>
      <c r="C140" s="182"/>
      <c r="D140" s="551"/>
      <c r="E140" s="504"/>
    </row>
    <row r="141" spans="1:5" x14ac:dyDescent="0.3">
      <c r="A141" s="309"/>
      <c r="B141" s="308" t="s">
        <v>216</v>
      </c>
      <c r="C141" s="182"/>
      <c r="D141" s="501">
        <f>SUM(D138:D140)</f>
        <v>0</v>
      </c>
      <c r="E141" s="501">
        <f>SUM(E138:E140)</f>
        <v>0</v>
      </c>
    </row>
    <row r="142" spans="1:5" x14ac:dyDescent="0.3">
      <c r="A142" s="310" t="s">
        <v>140</v>
      </c>
      <c r="B142" s="311" t="s">
        <v>215</v>
      </c>
      <c r="C142" s="45"/>
      <c r="D142" s="193"/>
      <c r="E142" s="193"/>
    </row>
    <row r="143" spans="1:5" x14ac:dyDescent="0.3">
      <c r="A143" s="310"/>
      <c r="B143" s="312"/>
      <c r="C143" s="182"/>
      <c r="D143" s="504"/>
      <c r="E143" s="552"/>
    </row>
    <row r="144" spans="1:5" x14ac:dyDescent="0.3">
      <c r="A144" s="310"/>
      <c r="B144" s="312"/>
      <c r="C144" s="182"/>
      <c r="D144" s="504"/>
      <c r="E144" s="552"/>
    </row>
    <row r="145" spans="1:6" x14ac:dyDescent="0.3">
      <c r="A145" s="310"/>
      <c r="B145" s="312"/>
      <c r="C145" s="182"/>
      <c r="D145" s="504"/>
      <c r="E145" s="552"/>
    </row>
    <row r="146" spans="1:6" x14ac:dyDescent="0.3">
      <c r="A146" s="310"/>
      <c r="B146" s="312"/>
      <c r="C146" s="182"/>
      <c r="D146" s="504"/>
      <c r="E146" s="552"/>
    </row>
    <row r="147" spans="1:6" x14ac:dyDescent="0.3">
      <c r="A147" s="287"/>
      <c r="D147" s="553"/>
      <c r="E147" s="553"/>
    </row>
    <row r="148" spans="1:6" x14ac:dyDescent="0.3">
      <c r="A148" s="287"/>
      <c r="B148" s="308" t="s">
        <v>217</v>
      </c>
      <c r="C148" s="182"/>
      <c r="D148" s="554">
        <f>SUM(D143:D147)</f>
        <v>0</v>
      </c>
      <c r="E148" s="554">
        <f>SUM(E143:E143)</f>
        <v>0</v>
      </c>
    </row>
    <row r="149" spans="1:6" x14ac:dyDescent="0.3">
      <c r="A149" s="309"/>
      <c r="B149" s="189"/>
      <c r="C149" s="45"/>
      <c r="D149" s="504"/>
      <c r="E149" s="555"/>
    </row>
    <row r="150" spans="1:6" x14ac:dyDescent="0.3">
      <c r="A150" s="314"/>
      <c r="B150" s="315" t="s">
        <v>325</v>
      </c>
      <c r="C150" s="316"/>
      <c r="D150" s="556">
        <f>D148+D141+D132</f>
        <v>0</v>
      </c>
      <c r="E150" s="556">
        <f>E148+E141+E132</f>
        <v>0</v>
      </c>
    </row>
    <row r="151" spans="1:6" x14ac:dyDescent="0.3">
      <c r="A151" s="211"/>
      <c r="B151" s="211"/>
      <c r="C151" s="211"/>
      <c r="D151" s="211"/>
      <c r="E151" s="211"/>
      <c r="F151" s="667"/>
    </row>
    <row r="152" spans="1:6" x14ac:dyDescent="0.3">
      <c r="A152" s="211"/>
      <c r="B152" s="211"/>
      <c r="C152" s="211"/>
      <c r="D152" s="211"/>
      <c r="E152" s="211"/>
      <c r="F152" s="667"/>
    </row>
    <row r="153" spans="1:6" x14ac:dyDescent="0.3">
      <c r="A153" s="482">
        <f>bs!D35</f>
        <v>12</v>
      </c>
      <c r="B153" s="483" t="s">
        <v>273</v>
      </c>
      <c r="C153" s="484"/>
      <c r="D153" s="485" t="str">
        <f>bs!E4</f>
        <v>As at 31.03.2025</v>
      </c>
      <c r="E153" s="485" t="str">
        <f>bs!F4</f>
        <v>As at 31.03.2024</v>
      </c>
    </row>
    <row r="154" spans="1:6" x14ac:dyDescent="0.3">
      <c r="A154" s="486"/>
      <c r="B154" s="308"/>
      <c r="C154" s="487"/>
      <c r="D154" s="557"/>
      <c r="E154" s="557"/>
    </row>
    <row r="155" spans="1:6" x14ac:dyDescent="0.3">
      <c r="A155" s="486"/>
      <c r="B155" s="653"/>
      <c r="C155" s="487"/>
      <c r="D155" s="654"/>
      <c r="E155" s="557"/>
    </row>
    <row r="156" spans="1:6" x14ac:dyDescent="0.3">
      <c r="A156" s="486"/>
      <c r="B156" s="653"/>
      <c r="C156" s="487"/>
      <c r="D156" s="654"/>
      <c r="E156" s="557"/>
    </row>
    <row r="157" spans="1:6" x14ac:dyDescent="0.3">
      <c r="A157" s="486"/>
      <c r="B157" s="653"/>
      <c r="C157" s="487"/>
      <c r="D157" s="654"/>
      <c r="E157" s="557"/>
    </row>
    <row r="158" spans="1:6" x14ac:dyDescent="0.3">
      <c r="A158" s="486"/>
      <c r="B158" s="653"/>
      <c r="C158" s="487"/>
      <c r="D158" s="654"/>
      <c r="E158" s="557"/>
    </row>
    <row r="159" spans="1:6" x14ac:dyDescent="0.3">
      <c r="A159" s="486"/>
      <c r="B159" s="312"/>
      <c r="C159" s="487"/>
      <c r="D159" s="558"/>
      <c r="E159" s="557"/>
    </row>
    <row r="160" spans="1:6" x14ac:dyDescent="0.3">
      <c r="A160" s="488"/>
      <c r="B160" s="489" t="s">
        <v>9</v>
      </c>
      <c r="C160" s="489"/>
      <c r="D160" s="559">
        <f>SUM(D154:D159)</f>
        <v>0</v>
      </c>
      <c r="E160" s="559">
        <f>SUM(E154:E159)</f>
        <v>0</v>
      </c>
    </row>
    <row r="161" spans="1:5" x14ac:dyDescent="0.3">
      <c r="A161" s="45"/>
      <c r="B161" s="45"/>
      <c r="C161" s="45"/>
      <c r="D161" s="45"/>
      <c r="E161" s="45"/>
    </row>
    <row r="162" spans="1:5" x14ac:dyDescent="0.3">
      <c r="A162" s="45"/>
      <c r="B162" s="45"/>
      <c r="C162" s="45"/>
      <c r="D162" s="45"/>
      <c r="E162" s="45"/>
    </row>
  </sheetData>
  <sortState xmlns:xlrd2="http://schemas.microsoft.com/office/spreadsheetml/2017/richdata2" ref="B72:E77">
    <sortCondition ref="B44:B51"/>
  </sortState>
  <mergeCells count="7">
    <mergeCell ref="E123:E124"/>
    <mergeCell ref="D123:D124"/>
    <mergeCell ref="A1:E1"/>
    <mergeCell ref="A2:E2"/>
    <mergeCell ref="B93:C93"/>
    <mergeCell ref="B99:C99"/>
    <mergeCell ref="B101:C101"/>
  </mergeCells>
  <pageMargins left="0.7" right="0.7" top="0.75" bottom="0.75" header="0.3" footer="0.3"/>
  <pageSetup scale="70" fitToHeight="0" orientation="portrait" r:id="rId1"/>
  <rowBreaks count="1" manualBreakCount="1">
    <brk id="7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87"/>
  <sheetViews>
    <sheetView zoomScaleNormal="100" zoomScaleSheetLayoutView="93" workbookViewId="0">
      <selection activeCell="K11" sqref="K11"/>
    </sheetView>
  </sheetViews>
  <sheetFormatPr defaultColWidth="8.6640625" defaultRowHeight="14.4" x14ac:dyDescent="0.3"/>
  <cols>
    <col min="1" max="1" width="8.6640625" style="6"/>
    <col min="2" max="2" width="50.44140625" style="6" customWidth="1"/>
    <col min="3" max="5" width="21.88671875" style="6" customWidth="1"/>
    <col min="6" max="16384" width="8.6640625" style="6"/>
  </cols>
  <sheetData>
    <row r="1" spans="1:6" ht="16.2" x14ac:dyDescent="0.35">
      <c r="A1" s="626" t="str">
        <f>bs!A1</f>
        <v xml:space="preserve"> M/S XYZ CO.</v>
      </c>
      <c r="B1" s="626"/>
      <c r="C1" s="626"/>
      <c r="D1" s="626"/>
      <c r="E1" s="626"/>
    </row>
    <row r="2" spans="1:6" ht="16.2" x14ac:dyDescent="0.35">
      <c r="A2" s="626" t="str">
        <f>capital!A2</f>
        <v>Notes forming part of the Financial Statements  for the year ended, 31st March, 2025</v>
      </c>
      <c r="B2" s="626"/>
      <c r="C2" s="626"/>
      <c r="D2" s="626"/>
      <c r="E2" s="626"/>
    </row>
    <row r="3" spans="1:6" ht="16.2" x14ac:dyDescent="0.35">
      <c r="A3" s="340"/>
      <c r="B3" s="45"/>
      <c r="C3" s="45"/>
      <c r="D3" s="45"/>
      <c r="E3" s="45"/>
    </row>
    <row r="4" spans="1:6" ht="16.2" x14ac:dyDescent="0.3">
      <c r="A4" s="45"/>
      <c r="B4" s="45"/>
      <c r="C4" s="45"/>
      <c r="D4" s="636" t="s">
        <v>0</v>
      </c>
      <c r="E4" s="636"/>
    </row>
    <row r="5" spans="1:6" ht="30.6" customHeight="1" x14ac:dyDescent="0.3">
      <c r="A5" s="341">
        <f>'p&amp;l'!D5</f>
        <v>13</v>
      </c>
      <c r="B5" s="342" t="s">
        <v>20</v>
      </c>
      <c r="C5" s="343"/>
      <c r="D5" s="344" t="str">
        <f>'p&amp;l'!E4</f>
        <v>Year ending 31.03.2025</v>
      </c>
      <c r="E5" s="344" t="str">
        <f>'p&amp;l'!F4</f>
        <v>Year ending 31.03.2024</v>
      </c>
    </row>
    <row r="6" spans="1:6" ht="16.2" x14ac:dyDescent="0.3">
      <c r="A6" s="345"/>
      <c r="B6" s="346" t="s">
        <v>224</v>
      </c>
      <c r="C6" s="347"/>
      <c r="D6" s="560"/>
      <c r="E6" s="560"/>
    </row>
    <row r="7" spans="1:6" ht="16.2" x14ac:dyDescent="0.3">
      <c r="A7" s="345"/>
      <c r="B7" s="346"/>
      <c r="C7" s="347"/>
      <c r="D7" s="561"/>
      <c r="E7" s="561"/>
    </row>
    <row r="8" spans="1:6" ht="16.2" x14ac:dyDescent="0.3">
      <c r="A8" s="348"/>
      <c r="B8" s="349" t="s">
        <v>61</v>
      </c>
      <c r="C8" s="350"/>
      <c r="D8" s="562">
        <f>D6</f>
        <v>0</v>
      </c>
      <c r="E8" s="562">
        <f>E6</f>
        <v>0</v>
      </c>
    </row>
    <row r="9" spans="1:6" ht="16.2" x14ac:dyDescent="0.3">
      <c r="A9" s="113"/>
      <c r="B9" s="127"/>
      <c r="C9" s="127"/>
      <c r="D9" s="127"/>
      <c r="E9" s="128"/>
      <c r="F9" s="667"/>
    </row>
    <row r="10" spans="1:6" ht="16.2" x14ac:dyDescent="0.3">
      <c r="A10" s="351"/>
      <c r="B10" s="347"/>
      <c r="C10" s="347"/>
      <c r="D10" s="633" t="s">
        <v>0</v>
      </c>
      <c r="E10" s="633"/>
      <c r="F10" s="667"/>
    </row>
    <row r="11" spans="1:6" ht="35.1" customHeight="1" x14ac:dyDescent="0.3">
      <c r="A11" s="341">
        <f>'p&amp;l'!D6</f>
        <v>14</v>
      </c>
      <c r="B11" s="342" t="s">
        <v>114</v>
      </c>
      <c r="C11" s="343"/>
      <c r="D11" s="344" t="str">
        <f>D5</f>
        <v>Year ending 31.03.2025</v>
      </c>
      <c r="E11" s="352" t="str">
        <f>E5</f>
        <v>Year ending 31.03.2024</v>
      </c>
    </row>
    <row r="12" spans="1:6" ht="16.2" x14ac:dyDescent="0.3">
      <c r="A12" s="353"/>
      <c r="B12" s="346" t="s">
        <v>318</v>
      </c>
      <c r="C12" s="347"/>
      <c r="D12" s="561"/>
      <c r="E12" s="563"/>
    </row>
    <row r="13" spans="1:6" ht="16.2" x14ac:dyDescent="0.3">
      <c r="A13" s="348"/>
      <c r="B13" s="349" t="s">
        <v>115</v>
      </c>
      <c r="C13" s="350"/>
      <c r="D13" s="562">
        <f>SUM(D12:D12)</f>
        <v>0</v>
      </c>
      <c r="E13" s="562">
        <f>SUM(E12:E12)</f>
        <v>0</v>
      </c>
    </row>
    <row r="14" spans="1:6" ht="16.2" x14ac:dyDescent="0.3">
      <c r="A14" s="113"/>
      <c r="B14" s="127"/>
      <c r="C14" s="127"/>
      <c r="D14" s="127"/>
      <c r="E14" s="128"/>
      <c r="F14" s="667"/>
    </row>
    <row r="15" spans="1:6" ht="16.2" x14ac:dyDescent="0.3">
      <c r="A15" s="129"/>
      <c r="B15" s="126"/>
      <c r="C15" s="126"/>
      <c r="D15" s="633" t="s">
        <v>0</v>
      </c>
      <c r="E15" s="633"/>
      <c r="F15" s="667"/>
    </row>
    <row r="16" spans="1:6" ht="16.2" x14ac:dyDescent="0.3">
      <c r="A16" s="363">
        <f>'p&amp;l'!D10</f>
        <v>15</v>
      </c>
      <c r="B16" s="364" t="s">
        <v>209</v>
      </c>
      <c r="C16" s="365"/>
      <c r="D16" s="634" t="str">
        <f>D5</f>
        <v>Year ending 31.03.2025</v>
      </c>
      <c r="E16" s="634" t="str">
        <f>E5</f>
        <v>Year ending 31.03.2024</v>
      </c>
    </row>
    <row r="17" spans="1:5" ht="14.4" customHeight="1" x14ac:dyDescent="0.3">
      <c r="A17" s="366"/>
      <c r="B17" s="367"/>
      <c r="C17" s="368"/>
      <c r="D17" s="635"/>
      <c r="E17" s="635"/>
    </row>
    <row r="18" spans="1:5" ht="16.2" x14ac:dyDescent="0.3">
      <c r="A18" s="353" t="s">
        <v>3</v>
      </c>
      <c r="B18" s="346" t="s">
        <v>110</v>
      </c>
      <c r="C18" s="347"/>
      <c r="D18" s="561">
        <f>E27</f>
        <v>0</v>
      </c>
      <c r="E18" s="564"/>
    </row>
    <row r="19" spans="1:5" ht="16.2" x14ac:dyDescent="0.3">
      <c r="A19" s="353"/>
      <c r="B19" s="346"/>
      <c r="C19" s="347"/>
      <c r="D19" s="565"/>
      <c r="E19" s="561"/>
    </row>
    <row r="20" spans="1:5" ht="16.2" x14ac:dyDescent="0.3">
      <c r="A20" s="353" t="s">
        <v>4</v>
      </c>
      <c r="B20" s="346" t="s">
        <v>158</v>
      </c>
      <c r="C20" s="347"/>
      <c r="D20" s="566"/>
      <c r="E20" s="515"/>
    </row>
    <row r="21" spans="1:5" ht="16.2" x14ac:dyDescent="0.3">
      <c r="A21" s="353"/>
      <c r="B21" s="378" t="s">
        <v>298</v>
      </c>
      <c r="C21" s="347"/>
      <c r="D21" s="566"/>
      <c r="E21" s="561"/>
    </row>
    <row r="22" spans="1:5" ht="16.2" x14ac:dyDescent="0.3">
      <c r="A22" s="353"/>
      <c r="B22" s="346"/>
      <c r="C22" s="347"/>
      <c r="D22" s="566"/>
      <c r="E22" s="561"/>
    </row>
    <row r="23" spans="1:5" ht="16.2" x14ac:dyDescent="0.3">
      <c r="A23" s="353" t="s">
        <v>5</v>
      </c>
      <c r="B23" s="346" t="s">
        <v>112</v>
      </c>
      <c r="C23" s="347"/>
      <c r="D23" s="566"/>
      <c r="E23" s="561"/>
    </row>
    <row r="24" spans="1:5" ht="16.2" x14ac:dyDescent="0.3">
      <c r="A24" s="353"/>
      <c r="B24" s="378"/>
      <c r="C24" s="347"/>
      <c r="D24" s="567"/>
      <c r="E24" s="561"/>
    </row>
    <row r="25" spans="1:5" ht="16.2" x14ac:dyDescent="0.3">
      <c r="A25" s="353"/>
      <c r="B25" s="378"/>
      <c r="C25" s="347"/>
      <c r="D25" s="567"/>
      <c r="E25" s="561"/>
    </row>
    <row r="26" spans="1:5" ht="16.2" x14ac:dyDescent="0.3">
      <c r="A26" s="353"/>
      <c r="B26" s="378"/>
      <c r="C26" s="347"/>
      <c r="D26" s="566"/>
      <c r="E26" s="561"/>
    </row>
    <row r="27" spans="1:5" ht="16.2" x14ac:dyDescent="0.3">
      <c r="A27" s="353" t="s">
        <v>6</v>
      </c>
      <c r="B27" s="346" t="s">
        <v>111</v>
      </c>
      <c r="C27" s="347"/>
      <c r="D27" s="567">
        <f>'GROSS PROFIT'!E13</f>
        <v>0</v>
      </c>
      <c r="E27" s="561"/>
    </row>
    <row r="28" spans="1:5" ht="16.2" x14ac:dyDescent="0.3">
      <c r="A28" s="379"/>
      <c r="B28" s="346"/>
      <c r="C28" s="347"/>
      <c r="D28" s="568"/>
      <c r="E28" s="569"/>
    </row>
    <row r="29" spans="1:5" ht="16.2" x14ac:dyDescent="0.3">
      <c r="A29" s="348"/>
      <c r="B29" s="376" t="s">
        <v>113</v>
      </c>
      <c r="C29" s="377"/>
      <c r="D29" s="562">
        <f>SUM(D18:D25)-D27</f>
        <v>0</v>
      </c>
      <c r="E29" s="562">
        <f>SUM(E18:E24)-E27</f>
        <v>0</v>
      </c>
    </row>
    <row r="30" spans="1:5" x14ac:dyDescent="0.3">
      <c r="A30" s="130"/>
      <c r="B30" s="115"/>
      <c r="C30" s="115"/>
      <c r="D30" s="115"/>
      <c r="E30" s="680"/>
    </row>
    <row r="31" spans="1:5" x14ac:dyDescent="0.3">
      <c r="A31" s="115"/>
      <c r="B31" s="115"/>
      <c r="C31" s="115"/>
      <c r="D31" s="115"/>
      <c r="E31" s="680"/>
    </row>
    <row r="32" spans="1:5" ht="16.2" x14ac:dyDescent="0.3">
      <c r="A32" s="369"/>
      <c r="B32" s="5"/>
      <c r="C32" s="5"/>
      <c r="D32" s="633" t="s">
        <v>0</v>
      </c>
      <c r="E32" s="633"/>
    </row>
    <row r="33" spans="1:6" ht="32.4" x14ac:dyDescent="0.3">
      <c r="A33" s="370">
        <f>'p&amp;l'!D11</f>
        <v>16</v>
      </c>
      <c r="B33" s="342" t="s">
        <v>121</v>
      </c>
      <c r="C33" s="371"/>
      <c r="D33" s="352" t="str">
        <f>D16</f>
        <v>Year ending 31.03.2025</v>
      </c>
      <c r="E33" s="352" t="str">
        <f>E16</f>
        <v>Year ending 31.03.2024</v>
      </c>
    </row>
    <row r="34" spans="1:6" ht="16.2" x14ac:dyDescent="0.3">
      <c r="A34" s="372" t="s">
        <v>3</v>
      </c>
      <c r="B34" s="373" t="s">
        <v>46</v>
      </c>
      <c r="C34" s="374"/>
      <c r="D34" s="570"/>
      <c r="E34" s="570"/>
    </row>
    <row r="35" spans="1:6" ht="16.2" x14ac:dyDescent="0.3">
      <c r="A35" s="372" t="s">
        <v>4</v>
      </c>
      <c r="B35" s="373" t="s">
        <v>225</v>
      </c>
      <c r="C35" s="374"/>
      <c r="D35" s="570"/>
      <c r="E35" s="570"/>
    </row>
    <row r="36" spans="1:6" ht="16.2" x14ac:dyDescent="0.3">
      <c r="A36" s="372" t="s">
        <v>5</v>
      </c>
      <c r="B36" s="346" t="s">
        <v>300</v>
      </c>
      <c r="C36" s="347"/>
      <c r="D36" s="570"/>
      <c r="E36" s="570"/>
    </row>
    <row r="37" spans="1:6" ht="16.2" x14ac:dyDescent="0.3">
      <c r="A37" s="372"/>
      <c r="B37" s="346"/>
      <c r="C37" s="347"/>
      <c r="D37" s="570"/>
      <c r="E37" s="570"/>
    </row>
    <row r="38" spans="1:6" ht="16.2" x14ac:dyDescent="0.3">
      <c r="A38" s="372"/>
      <c r="B38" s="346"/>
      <c r="C38" s="347"/>
      <c r="D38" s="570"/>
      <c r="E38" s="570"/>
    </row>
    <row r="39" spans="1:6" ht="16.2" x14ac:dyDescent="0.3">
      <c r="A39" s="372"/>
      <c r="B39" s="346"/>
      <c r="C39" s="347"/>
      <c r="D39" s="570"/>
      <c r="E39" s="570"/>
    </row>
    <row r="40" spans="1:6" ht="18.899999999999999" customHeight="1" x14ac:dyDescent="0.3">
      <c r="A40" s="375"/>
      <c r="B40" s="376" t="s">
        <v>59</v>
      </c>
      <c r="C40" s="377"/>
      <c r="D40" s="571">
        <f>SUM(D34:D36)</f>
        <v>0</v>
      </c>
      <c r="E40" s="571">
        <f>SUM(E34:E36)</f>
        <v>0</v>
      </c>
    </row>
    <row r="41" spans="1:6" x14ac:dyDescent="0.3">
      <c r="A41" s="130"/>
      <c r="B41" s="115"/>
      <c r="C41" s="115"/>
      <c r="D41" s="115"/>
      <c r="E41" s="131"/>
      <c r="F41" s="667"/>
    </row>
    <row r="42" spans="1:6" ht="16.2" x14ac:dyDescent="0.3">
      <c r="A42" s="129"/>
      <c r="B42" s="126"/>
      <c r="C42" s="99"/>
      <c r="D42" s="633" t="s">
        <v>0</v>
      </c>
      <c r="E42" s="633"/>
      <c r="F42" s="667"/>
    </row>
    <row r="43" spans="1:6" ht="35.25" customHeight="1" x14ac:dyDescent="0.35">
      <c r="A43" s="380">
        <f>'p&amp;l'!D12</f>
        <v>17</v>
      </c>
      <c r="B43" s="381" t="s">
        <v>85</v>
      </c>
      <c r="C43" s="188"/>
      <c r="D43" s="352" t="str">
        <f>D33</f>
        <v>Year ending 31.03.2025</v>
      </c>
      <c r="E43" s="352" t="str">
        <f>E33</f>
        <v>Year ending 31.03.2024</v>
      </c>
    </row>
    <row r="44" spans="1:6" ht="16.2" x14ac:dyDescent="0.35">
      <c r="A44" s="492" t="s">
        <v>3</v>
      </c>
      <c r="B44" s="385" t="s">
        <v>226</v>
      </c>
      <c r="C44" s="175"/>
      <c r="D44" s="384"/>
      <c r="E44" s="384"/>
    </row>
    <row r="45" spans="1:6" ht="16.5" customHeight="1" x14ac:dyDescent="0.35">
      <c r="A45" s="372" t="s">
        <v>4</v>
      </c>
      <c r="B45" s="385" t="s">
        <v>280</v>
      </c>
      <c r="C45" s="175"/>
      <c r="D45" s="499"/>
      <c r="E45" s="572"/>
    </row>
    <row r="46" spans="1:6" ht="16.5" customHeight="1" x14ac:dyDescent="0.35">
      <c r="A46" s="382"/>
      <c r="B46" s="385"/>
      <c r="C46" s="175"/>
      <c r="D46" s="175"/>
      <c r="E46" s="573"/>
    </row>
    <row r="47" spans="1:6" ht="16.2" x14ac:dyDescent="0.3">
      <c r="A47" s="386"/>
      <c r="B47" s="387" t="s">
        <v>86</v>
      </c>
      <c r="C47" s="300"/>
      <c r="D47" s="388">
        <f>SUM(D45:D46)</f>
        <v>0</v>
      </c>
      <c r="E47" s="574">
        <f>SUM(E44:E45)</f>
        <v>0</v>
      </c>
    </row>
    <row r="48" spans="1:6" ht="16.2" x14ac:dyDescent="0.3">
      <c r="A48" s="125"/>
      <c r="B48" s="126"/>
      <c r="C48" s="99"/>
      <c r="D48" s="99"/>
      <c r="E48" s="681"/>
    </row>
    <row r="49" spans="1:5" ht="16.2" x14ac:dyDescent="0.3">
      <c r="A49" s="125"/>
      <c r="B49" s="126"/>
      <c r="C49" s="99"/>
      <c r="D49" s="99"/>
      <c r="E49" s="132"/>
    </row>
    <row r="50" spans="1:5" x14ac:dyDescent="0.3">
      <c r="A50" s="115"/>
      <c r="B50" s="115"/>
      <c r="C50" s="115"/>
      <c r="D50" s="115"/>
      <c r="E50" s="680"/>
    </row>
    <row r="51" spans="1:5" x14ac:dyDescent="0.3">
      <c r="A51" s="115"/>
      <c r="B51" s="115"/>
      <c r="C51" s="115"/>
      <c r="D51" s="115"/>
      <c r="E51" s="680"/>
    </row>
    <row r="52" spans="1:5" x14ac:dyDescent="0.3">
      <c r="A52" s="630" t="str">
        <f>A1</f>
        <v xml:space="preserve"> M/S XYZ CO.</v>
      </c>
      <c r="B52" s="630"/>
      <c r="C52" s="630"/>
      <c r="D52" s="630"/>
      <c r="E52" s="630"/>
    </row>
    <row r="53" spans="1:5" x14ac:dyDescent="0.3">
      <c r="A53" s="630" t="str">
        <f>A2</f>
        <v>Notes forming part of the Financial Statements  for the year ended, 31st March, 2025</v>
      </c>
      <c r="B53" s="630"/>
      <c r="C53" s="630"/>
      <c r="D53" s="630"/>
      <c r="E53" s="630"/>
    </row>
    <row r="54" spans="1:5" ht="16.2" x14ac:dyDescent="0.3">
      <c r="A54" s="211"/>
      <c r="B54" s="5"/>
      <c r="C54" s="5"/>
      <c r="D54" s="633" t="s">
        <v>0</v>
      </c>
      <c r="E54" s="633"/>
    </row>
    <row r="55" spans="1:5" ht="30.6" customHeight="1" x14ac:dyDescent="0.3">
      <c r="A55" s="389">
        <f>'p&amp;l'!D13</f>
        <v>18</v>
      </c>
      <c r="B55" s="390" t="s">
        <v>27</v>
      </c>
      <c r="C55" s="391"/>
      <c r="D55" s="352" t="str">
        <f>D33</f>
        <v>Year ending 31.03.2025</v>
      </c>
      <c r="E55" s="352" t="str">
        <f>E33</f>
        <v>Year ending 31.03.2024</v>
      </c>
    </row>
    <row r="56" spans="1:5" ht="16.2" x14ac:dyDescent="0.3">
      <c r="A56" s="392"/>
      <c r="B56" s="393" t="s">
        <v>323</v>
      </c>
      <c r="C56" s="7"/>
      <c r="D56" s="575">
        <f>'Fixed Assets C. Yr.'!H68</f>
        <v>0</v>
      </c>
      <c r="E56" s="575">
        <f>'Fixed Assets P. Yr.'!H37</f>
        <v>0</v>
      </c>
    </row>
    <row r="57" spans="1:5" ht="37.5" customHeight="1" x14ac:dyDescent="0.3">
      <c r="A57" s="394"/>
      <c r="B57" s="395" t="s">
        <v>45</v>
      </c>
      <c r="C57" s="396"/>
      <c r="D57" s="576">
        <f>SUM(D56:D56)</f>
        <v>0</v>
      </c>
      <c r="E57" s="576">
        <f>SUM(E56:E56)</f>
        <v>0</v>
      </c>
    </row>
    <row r="58" spans="1:5" ht="16.2" x14ac:dyDescent="0.3">
      <c r="A58" s="182"/>
      <c r="B58" s="5"/>
      <c r="C58" s="5"/>
      <c r="D58" s="5"/>
      <c r="E58" s="682"/>
    </row>
    <row r="59" spans="1:5" ht="16.2" x14ac:dyDescent="0.3">
      <c r="A59" s="211"/>
      <c r="B59" s="5"/>
      <c r="C59" s="5"/>
      <c r="D59" s="633" t="s">
        <v>0</v>
      </c>
      <c r="E59" s="633"/>
    </row>
    <row r="60" spans="1:5" ht="47.25" customHeight="1" x14ac:dyDescent="0.3">
      <c r="A60" s="370">
        <f>'p&amp;l'!D14</f>
        <v>19</v>
      </c>
      <c r="B60" s="364" t="s">
        <v>60</v>
      </c>
      <c r="C60" s="365"/>
      <c r="D60" s="352" t="str">
        <f>D55</f>
        <v>Year ending 31.03.2025</v>
      </c>
      <c r="E60" s="352" t="str">
        <f>E55</f>
        <v>Year ending 31.03.2024</v>
      </c>
    </row>
    <row r="61" spans="1:5" ht="16.2" x14ac:dyDescent="0.35">
      <c r="A61" s="397"/>
      <c r="B61" s="657" t="s">
        <v>301</v>
      </c>
      <c r="C61" s="658"/>
      <c r="D61" s="572"/>
      <c r="E61" s="572"/>
    </row>
    <row r="62" spans="1:5" ht="16.2" x14ac:dyDescent="0.35">
      <c r="A62" s="397"/>
      <c r="B62" s="345" t="s">
        <v>227</v>
      </c>
      <c r="C62" s="659"/>
      <c r="D62" s="572"/>
      <c r="E62" s="572"/>
    </row>
    <row r="63" spans="1:5" ht="16.2" x14ac:dyDescent="0.35">
      <c r="A63" s="397"/>
      <c r="B63" s="345" t="s">
        <v>302</v>
      </c>
      <c r="C63" s="659"/>
      <c r="D63" s="572"/>
      <c r="E63" s="572"/>
    </row>
    <row r="64" spans="1:5" ht="16.2" x14ac:dyDescent="0.35">
      <c r="A64" s="397"/>
      <c r="B64" s="345" t="s">
        <v>303</v>
      </c>
      <c r="C64" s="659"/>
      <c r="D64" s="572"/>
      <c r="E64" s="572"/>
    </row>
    <row r="65" spans="1:5" ht="16.2" x14ac:dyDescent="0.35">
      <c r="A65" s="397"/>
      <c r="B65" s="345" t="s">
        <v>304</v>
      </c>
      <c r="C65" s="659"/>
      <c r="D65" s="572"/>
      <c r="E65" s="572"/>
    </row>
    <row r="66" spans="1:5" ht="16.2" x14ac:dyDescent="0.35">
      <c r="A66" s="397"/>
      <c r="B66" s="345" t="s">
        <v>305</v>
      </c>
      <c r="C66" s="659"/>
      <c r="D66" s="572"/>
      <c r="E66" s="572"/>
    </row>
    <row r="67" spans="1:5" ht="16.2" x14ac:dyDescent="0.35">
      <c r="A67" s="397"/>
      <c r="B67" s="345" t="s">
        <v>281</v>
      </c>
      <c r="C67" s="660"/>
      <c r="D67" s="572"/>
      <c r="E67" s="572"/>
    </row>
    <row r="68" spans="1:5" ht="16.2" x14ac:dyDescent="0.35">
      <c r="A68" s="397"/>
      <c r="B68" s="345" t="s">
        <v>306</v>
      </c>
      <c r="C68" s="660"/>
      <c r="D68" s="572"/>
      <c r="E68" s="572"/>
    </row>
    <row r="69" spans="1:5" ht="16.2" x14ac:dyDescent="0.35">
      <c r="A69" s="397"/>
      <c r="B69" s="345" t="s">
        <v>307</v>
      </c>
      <c r="C69" s="659"/>
      <c r="D69" s="572"/>
      <c r="E69" s="572"/>
    </row>
    <row r="70" spans="1:5" ht="16.2" x14ac:dyDescent="0.35">
      <c r="A70" s="397"/>
      <c r="B70" s="345" t="s">
        <v>308</v>
      </c>
      <c r="C70" s="659"/>
      <c r="D70" s="572"/>
      <c r="E70" s="572"/>
    </row>
    <row r="71" spans="1:5" ht="16.2" x14ac:dyDescent="0.35">
      <c r="A71" s="397"/>
      <c r="B71" s="345" t="s">
        <v>309</v>
      </c>
      <c r="C71" s="661"/>
      <c r="D71" s="577"/>
      <c r="E71" s="577"/>
    </row>
    <row r="72" spans="1:5" ht="16.2" x14ac:dyDescent="0.35">
      <c r="A72" s="397"/>
      <c r="B72" s="345" t="s">
        <v>310</v>
      </c>
      <c r="C72" s="662"/>
      <c r="D72" s="572"/>
      <c r="E72" s="572"/>
    </row>
    <row r="73" spans="1:5" ht="16.2" x14ac:dyDescent="0.35">
      <c r="A73" s="397"/>
      <c r="B73" s="345" t="s">
        <v>311</v>
      </c>
      <c r="C73" s="661"/>
      <c r="D73" s="572"/>
      <c r="E73" s="572"/>
    </row>
    <row r="74" spans="1:5" ht="16.2" x14ac:dyDescent="0.35">
      <c r="A74" s="398"/>
      <c r="B74" s="399" t="s">
        <v>312</v>
      </c>
      <c r="C74" s="659"/>
      <c r="D74" s="572"/>
      <c r="E74" s="572"/>
    </row>
    <row r="75" spans="1:5" ht="16.2" x14ac:dyDescent="0.35">
      <c r="A75" s="398"/>
      <c r="B75" s="399" t="s">
        <v>282</v>
      </c>
      <c r="C75" s="659"/>
      <c r="D75" s="572"/>
      <c r="E75" s="578"/>
    </row>
    <row r="76" spans="1:5" ht="16.2" x14ac:dyDescent="0.35">
      <c r="A76" s="398"/>
      <c r="B76" s="399"/>
      <c r="C76" s="659"/>
      <c r="D76" s="572"/>
      <c r="E76" s="578"/>
    </row>
    <row r="77" spans="1:5" ht="16.2" x14ac:dyDescent="0.35">
      <c r="A77" s="398"/>
      <c r="B77" s="399"/>
      <c r="C77" s="659"/>
      <c r="D77" s="572"/>
      <c r="E77" s="578"/>
    </row>
    <row r="78" spans="1:5" ht="16.2" x14ac:dyDescent="0.35">
      <c r="A78" s="398"/>
      <c r="B78" s="399"/>
      <c r="C78" s="659"/>
      <c r="D78" s="572"/>
      <c r="E78" s="578"/>
    </row>
    <row r="79" spans="1:5" ht="16.2" x14ac:dyDescent="0.35">
      <c r="A79" s="398"/>
      <c r="B79" s="399"/>
      <c r="C79" s="659"/>
      <c r="D79" s="572"/>
      <c r="E79" s="578"/>
    </row>
    <row r="80" spans="1:5" ht="16.2" x14ac:dyDescent="0.35">
      <c r="A80" s="398"/>
      <c r="B80" s="399"/>
      <c r="C80" s="659"/>
      <c r="D80" s="572"/>
      <c r="E80" s="578"/>
    </row>
    <row r="81" spans="1:5" ht="16.2" x14ac:dyDescent="0.35">
      <c r="A81" s="398"/>
      <c r="B81" s="399"/>
      <c r="C81" s="659"/>
      <c r="D81" s="572"/>
      <c r="E81" s="578"/>
    </row>
    <row r="82" spans="1:5" ht="16.2" x14ac:dyDescent="0.35">
      <c r="A82" s="397"/>
      <c r="B82" s="345"/>
      <c r="C82" s="661"/>
      <c r="D82" s="577"/>
      <c r="E82" s="577"/>
    </row>
    <row r="83" spans="1:5" ht="16.2" x14ac:dyDescent="0.35">
      <c r="A83" s="397"/>
      <c r="B83" s="345"/>
      <c r="C83" s="661"/>
      <c r="D83" s="577"/>
      <c r="E83" s="577"/>
    </row>
    <row r="84" spans="1:5" ht="16.2" x14ac:dyDescent="0.35">
      <c r="A84" s="397"/>
      <c r="B84" s="345"/>
      <c r="C84" s="661"/>
      <c r="D84" s="577"/>
      <c r="E84" s="577"/>
    </row>
    <row r="85" spans="1:5" ht="16.2" x14ac:dyDescent="0.35">
      <c r="A85" s="397"/>
      <c r="B85" s="345"/>
      <c r="C85" s="661"/>
      <c r="D85" s="577"/>
      <c r="E85" s="577"/>
    </row>
    <row r="86" spans="1:5" ht="16.2" x14ac:dyDescent="0.35">
      <c r="A86" s="397"/>
      <c r="B86" s="663"/>
      <c r="C86" s="664"/>
      <c r="D86" s="577"/>
      <c r="E86" s="577"/>
    </row>
    <row r="87" spans="1:5" ht="16.2" x14ac:dyDescent="0.3">
      <c r="A87" s="367"/>
      <c r="B87" s="342" t="s">
        <v>9</v>
      </c>
      <c r="C87" s="656"/>
      <c r="D87" s="579">
        <f>SUM(D61:D86)</f>
        <v>0</v>
      </c>
      <c r="E87" s="579">
        <f>SUM(E61:E86)</f>
        <v>0</v>
      </c>
    </row>
  </sheetData>
  <sortState xmlns:xlrd2="http://schemas.microsoft.com/office/spreadsheetml/2017/richdata2" ref="B87:E107">
    <sortCondition ref="B87"/>
  </sortState>
  <mergeCells count="13">
    <mergeCell ref="D54:E54"/>
    <mergeCell ref="D59:E59"/>
    <mergeCell ref="A1:E1"/>
    <mergeCell ref="A2:E2"/>
    <mergeCell ref="A52:E52"/>
    <mergeCell ref="A53:E53"/>
    <mergeCell ref="D16:D17"/>
    <mergeCell ref="D4:E4"/>
    <mergeCell ref="D10:E10"/>
    <mergeCell ref="D15:E15"/>
    <mergeCell ref="D32:E32"/>
    <mergeCell ref="D42:E42"/>
    <mergeCell ref="E16:E17"/>
  </mergeCells>
  <pageMargins left="0.70866141732283472" right="0.70866141732283472" top="0.74803149606299213" bottom="0" header="0.31496062992125984" footer="0.31496062992125984"/>
  <pageSetup scale="74" fitToHeight="0" orientation="portrait" r:id="rId1"/>
  <rowBreaks count="1" manualBreakCount="1">
    <brk id="51"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0"/>
  <sheetViews>
    <sheetView view="pageBreakPreview" topLeftCell="A13" zoomScaleSheetLayoutView="100" workbookViewId="0">
      <selection activeCell="E16" sqref="E16"/>
    </sheetView>
  </sheetViews>
  <sheetFormatPr defaultColWidth="9.109375" defaultRowHeight="14.4" x14ac:dyDescent="0.3"/>
  <cols>
    <col min="1" max="1" width="9.109375" style="45"/>
    <col min="2" max="2" width="31" style="45" customWidth="1"/>
    <col min="3" max="7" width="14.5546875" style="45" customWidth="1"/>
    <col min="8" max="8" width="14.109375" style="45" customWidth="1"/>
    <col min="9" max="10" width="9.109375" style="45"/>
    <col min="11" max="11" width="12.109375" style="45" bestFit="1" customWidth="1"/>
    <col min="12" max="16384" width="9.109375" style="45"/>
  </cols>
  <sheetData>
    <row r="1" spans="1:9" ht="16.2" x14ac:dyDescent="0.35">
      <c r="A1" s="626" t="str">
        <f>bs!A1</f>
        <v xml:space="preserve"> M/S XYZ CO.</v>
      </c>
      <c r="B1" s="626"/>
      <c r="C1" s="626"/>
      <c r="D1" s="626"/>
      <c r="E1" s="626"/>
      <c r="F1" s="626"/>
      <c r="G1" s="626"/>
      <c r="H1" s="626"/>
      <c r="I1" s="626"/>
    </row>
    <row r="2" spans="1:9" ht="16.2" x14ac:dyDescent="0.35">
      <c r="A2" s="626" t="str">
        <f>'notes to p&amp;l'!A2</f>
        <v>Notes forming part of the Financial Statements  for the year ended, 31st March, 2025</v>
      </c>
      <c r="B2" s="626"/>
      <c r="C2" s="626"/>
      <c r="D2" s="626"/>
      <c r="E2" s="626"/>
      <c r="F2" s="626"/>
      <c r="G2" s="626"/>
      <c r="H2" s="626"/>
      <c r="I2" s="626"/>
    </row>
    <row r="3" spans="1:9" x14ac:dyDescent="0.3">
      <c r="G3" s="211"/>
      <c r="H3" s="211"/>
    </row>
    <row r="4" spans="1:9" ht="16.2" x14ac:dyDescent="0.3">
      <c r="A4" s="642" t="s">
        <v>231</v>
      </c>
      <c r="B4" s="642"/>
      <c r="C4" s="642"/>
      <c r="D4" s="642"/>
      <c r="E4" s="642"/>
      <c r="F4" s="642"/>
      <c r="G4" s="211"/>
      <c r="H4" s="211"/>
    </row>
    <row r="5" spans="1:9" ht="16.2" x14ac:dyDescent="0.3">
      <c r="A5" s="210"/>
      <c r="B5" s="210"/>
      <c r="C5" s="210"/>
      <c r="D5" s="210"/>
      <c r="E5" s="210"/>
      <c r="F5" s="210"/>
      <c r="G5" s="211"/>
      <c r="H5" s="211"/>
    </row>
    <row r="6" spans="1:9" ht="16.2" x14ac:dyDescent="0.3">
      <c r="A6" s="211"/>
      <c r="B6" s="210" t="s">
        <v>233</v>
      </c>
    </row>
    <row r="7" spans="1:9" x14ac:dyDescent="0.3">
      <c r="A7" s="211"/>
      <c r="B7" s="637" t="s">
        <v>52</v>
      </c>
      <c r="C7" s="639" t="s">
        <v>118</v>
      </c>
      <c r="D7" s="640"/>
      <c r="E7" s="640"/>
      <c r="F7" s="640"/>
      <c r="G7" s="641"/>
      <c r="H7" s="251"/>
    </row>
    <row r="8" spans="1:9" ht="43.2" x14ac:dyDescent="0.3">
      <c r="A8" s="211"/>
      <c r="B8" s="638"/>
      <c r="C8" s="480" t="s">
        <v>289</v>
      </c>
      <c r="D8" s="252" t="s">
        <v>47</v>
      </c>
      <c r="E8" s="215" t="s">
        <v>54</v>
      </c>
      <c r="F8" s="252" t="s">
        <v>48</v>
      </c>
      <c r="G8" s="215" t="s">
        <v>55</v>
      </c>
      <c r="H8" s="215" t="s">
        <v>9</v>
      </c>
    </row>
    <row r="9" spans="1:9" x14ac:dyDescent="0.3">
      <c r="A9" s="211"/>
      <c r="B9" s="253" t="s">
        <v>239</v>
      </c>
      <c r="C9" s="254">
        <f>C39</f>
        <v>0</v>
      </c>
      <c r="D9" s="254">
        <f t="shared" ref="D9:H9" si="0">D39</f>
        <v>0</v>
      </c>
      <c r="E9" s="254">
        <f t="shared" si="0"/>
        <v>0</v>
      </c>
      <c r="F9" s="254">
        <f t="shared" si="0"/>
        <v>0</v>
      </c>
      <c r="G9" s="254">
        <f t="shared" si="0"/>
        <v>0</v>
      </c>
      <c r="H9" s="254">
        <f t="shared" si="0"/>
        <v>0</v>
      </c>
    </row>
    <row r="10" spans="1:9" x14ac:dyDescent="0.3">
      <c r="A10" s="211"/>
      <c r="B10" s="219" t="s">
        <v>49</v>
      </c>
      <c r="C10" s="223">
        <f>'Fixed Assets C. Yr.'!C60+'Fixed Assets C. Yr.'!D60</f>
        <v>0</v>
      </c>
      <c r="D10" s="242">
        <f>SUM('Fixed Assets C. Yr.'!C36:D36)</f>
        <v>0</v>
      </c>
      <c r="E10" s="223">
        <f>SUM('Fixed Assets C. Yr.'!C11:D21)</f>
        <v>0</v>
      </c>
      <c r="F10" s="223" t="e">
        <f>'Fixed Assets C. Yr.'!#REF!+'Fixed Assets C. Yr.'!#REF!</f>
        <v>#REF!</v>
      </c>
      <c r="G10" s="224">
        <f>SUM('Fixed Assets C. Yr.'!C24:D33)</f>
        <v>0</v>
      </c>
      <c r="H10" s="222" t="e">
        <f>SUM(C10:G10)</f>
        <v>#REF!</v>
      </c>
    </row>
    <row r="11" spans="1:9" x14ac:dyDescent="0.3">
      <c r="A11" s="211"/>
      <c r="B11" s="219" t="s">
        <v>50</v>
      </c>
      <c r="C11" s="226">
        <v>0</v>
      </c>
      <c r="D11" s="226">
        <v>0</v>
      </c>
      <c r="E11" s="226" t="e">
        <f>SUM('Fixed Assets C. Yr.'!#REF!)</f>
        <v>#REF!</v>
      </c>
      <c r="F11" s="226">
        <v>0</v>
      </c>
      <c r="G11" s="245">
        <f>SUM('Fixed Assets C. Yr.'!E24:E33)</f>
        <v>0</v>
      </c>
      <c r="H11" s="222" t="e">
        <f>SUM(C11:G11)</f>
        <v>#REF!</v>
      </c>
    </row>
    <row r="12" spans="1:9" x14ac:dyDescent="0.3">
      <c r="A12" s="211"/>
      <c r="B12" s="228" t="s">
        <v>153</v>
      </c>
      <c r="C12" s="229">
        <f>+C9+C10-C11</f>
        <v>0</v>
      </c>
      <c r="D12" s="229">
        <f>+D9+D10-D11</f>
        <v>0</v>
      </c>
      <c r="E12" s="229" t="e">
        <f>+E9+E10-E11</f>
        <v>#REF!</v>
      </c>
      <c r="F12" s="229" t="e">
        <f>+F9+F10-F11</f>
        <v>#REF!</v>
      </c>
      <c r="G12" s="231">
        <f>G9+G10-G11</f>
        <v>0</v>
      </c>
      <c r="H12" s="229" t="e">
        <f>+H9+H10-H11</f>
        <v>#REF!</v>
      </c>
    </row>
    <row r="13" spans="1:9" x14ac:dyDescent="0.3">
      <c r="A13" s="211"/>
      <c r="B13" s="258"/>
      <c r="C13" s="259"/>
      <c r="D13" s="259"/>
      <c r="E13" s="259"/>
      <c r="F13" s="259"/>
      <c r="G13" s="259"/>
      <c r="H13" s="260"/>
    </row>
    <row r="14" spans="1:9" x14ac:dyDescent="0.3">
      <c r="A14" s="211"/>
      <c r="B14" s="235" t="s">
        <v>119</v>
      </c>
      <c r="C14" s="261"/>
      <c r="D14" s="261"/>
      <c r="E14" s="261"/>
      <c r="F14" s="261"/>
      <c r="G14" s="261"/>
      <c r="H14" s="262"/>
    </row>
    <row r="15" spans="1:9" x14ac:dyDescent="0.3">
      <c r="A15" s="211"/>
      <c r="B15" s="219" t="s">
        <v>268</v>
      </c>
      <c r="C15" s="239">
        <v>0</v>
      </c>
      <c r="D15" s="240">
        <v>0</v>
      </c>
      <c r="E15" s="263">
        <v>0</v>
      </c>
      <c r="F15" s="240">
        <v>0</v>
      </c>
      <c r="G15" s="263">
        <v>0</v>
      </c>
      <c r="H15" s="240">
        <f>SUM(C15:G15)</f>
        <v>0</v>
      </c>
    </row>
    <row r="16" spans="1:9" x14ac:dyDescent="0.3">
      <c r="A16" s="211"/>
      <c r="B16" s="219" t="s">
        <v>49</v>
      </c>
      <c r="C16" s="241">
        <f>'Fixed Assets C. Yr.'!H60</f>
        <v>0</v>
      </c>
      <c r="D16" s="242" t="e">
        <f>'Fixed Assets C. Yr.'!#REF!+'Fixed Assets C. Yr.'!H36</f>
        <v>#REF!</v>
      </c>
      <c r="E16" s="243">
        <f>SUM('Fixed Assets C. Yr.'!H11:H21)</f>
        <v>0</v>
      </c>
      <c r="F16" s="222" t="e">
        <f>'Fixed Assets C. Yr.'!#REF!</f>
        <v>#REF!</v>
      </c>
      <c r="G16" s="243">
        <f>SUM('Fixed Assets C. Yr.'!H24:H33)</f>
        <v>0</v>
      </c>
      <c r="H16" s="223" t="e">
        <f>SUM(C16:G16)</f>
        <v>#REF!</v>
      </c>
    </row>
    <row r="17" spans="1:11" x14ac:dyDescent="0.3">
      <c r="A17" s="211"/>
      <c r="B17" s="219" t="s">
        <v>50</v>
      </c>
      <c r="C17" s="244">
        <v>0</v>
      </c>
      <c r="D17" s="226">
        <v>0</v>
      </c>
      <c r="E17" s="245">
        <v>0</v>
      </c>
      <c r="F17" s="226">
        <v>0</v>
      </c>
      <c r="G17" s="245">
        <v>0</v>
      </c>
      <c r="H17" s="223">
        <f>SUM(C17:G17)</f>
        <v>0</v>
      </c>
    </row>
    <row r="18" spans="1:11" x14ac:dyDescent="0.3">
      <c r="A18" s="211"/>
      <c r="B18" s="228" t="s">
        <v>153</v>
      </c>
      <c r="C18" s="229">
        <f>+C15+C16-C17</f>
        <v>0</v>
      </c>
      <c r="D18" s="229" t="e">
        <f>+D15+D16-D17</f>
        <v>#REF!</v>
      </c>
      <c r="E18" s="229">
        <f>+E15+E16-E17</f>
        <v>0</v>
      </c>
      <c r="F18" s="229" t="e">
        <f>+F15+F16-F17</f>
        <v>#REF!</v>
      </c>
      <c r="G18" s="229">
        <f>G15+G16-G17</f>
        <v>0</v>
      </c>
      <c r="H18" s="229" t="e">
        <f>+H15+H16-H17</f>
        <v>#REF!</v>
      </c>
    </row>
    <row r="19" spans="1:11" x14ac:dyDescent="0.3">
      <c r="A19" s="211"/>
      <c r="B19" s="258"/>
      <c r="C19" s="265"/>
      <c r="D19" s="265"/>
      <c r="E19" s="265"/>
      <c r="F19" s="265"/>
      <c r="G19" s="265"/>
      <c r="H19" s="266"/>
    </row>
    <row r="20" spans="1:11" x14ac:dyDescent="0.3">
      <c r="A20" s="211"/>
      <c r="B20" s="251" t="s">
        <v>269</v>
      </c>
      <c r="C20" s="250">
        <f t="shared" ref="C20:H20" si="1">C12-C18</f>
        <v>0</v>
      </c>
      <c r="D20" s="250" t="e">
        <f t="shared" si="1"/>
        <v>#REF!</v>
      </c>
      <c r="E20" s="250" t="e">
        <f t="shared" si="1"/>
        <v>#REF!</v>
      </c>
      <c r="F20" s="250" t="e">
        <f t="shared" si="1"/>
        <v>#REF!</v>
      </c>
      <c r="G20" s="250">
        <f t="shared" si="1"/>
        <v>0</v>
      </c>
      <c r="H20" s="250" t="e">
        <f t="shared" si="1"/>
        <v>#REF!</v>
      </c>
    </row>
    <row r="21" spans="1:11" ht="16.2" x14ac:dyDescent="0.3">
      <c r="A21" s="210"/>
      <c r="B21" s="210"/>
      <c r="C21" s="210"/>
      <c r="D21" s="210"/>
      <c r="E21" s="210"/>
      <c r="F21" s="210"/>
      <c r="G21" s="211"/>
      <c r="H21" s="211"/>
    </row>
    <row r="22" spans="1:11" ht="16.2" x14ac:dyDescent="0.3">
      <c r="A22" s="210"/>
      <c r="B22" s="210"/>
      <c r="C22" s="210"/>
      <c r="D22" s="210"/>
      <c r="E22" s="210"/>
      <c r="F22" s="210"/>
      <c r="G22" s="211"/>
      <c r="H22" s="211"/>
    </row>
    <row r="23" spans="1:11" ht="16.2" x14ac:dyDescent="0.3">
      <c r="A23" s="210"/>
      <c r="B23" s="210"/>
      <c r="C23" s="210"/>
      <c r="D23" s="210"/>
      <c r="E23" s="210"/>
      <c r="F23" s="210"/>
      <c r="G23" s="211"/>
      <c r="H23" s="211"/>
    </row>
    <row r="24" spans="1:11" ht="16.2" x14ac:dyDescent="0.3">
      <c r="A24" s="210"/>
      <c r="C24" s="210"/>
      <c r="D24" s="210"/>
      <c r="E24" s="210"/>
      <c r="F24" s="210"/>
      <c r="G24" s="211"/>
      <c r="H24" s="211"/>
    </row>
    <row r="25" spans="1:11" ht="16.2" x14ac:dyDescent="0.3">
      <c r="A25" s="211"/>
      <c r="B25" s="210" t="s">
        <v>234</v>
      </c>
      <c r="C25" s="211"/>
      <c r="D25" s="211"/>
      <c r="E25" s="211"/>
      <c r="F25" s="211"/>
      <c r="G25" s="211"/>
      <c r="H25" s="211"/>
    </row>
    <row r="26" spans="1:11" x14ac:dyDescent="0.3">
      <c r="A26" s="211"/>
      <c r="B26" s="637" t="s">
        <v>52</v>
      </c>
      <c r="C26" s="639" t="s">
        <v>118</v>
      </c>
      <c r="D26" s="640"/>
      <c r="E26" s="640"/>
      <c r="F26" s="640"/>
      <c r="G26" s="641"/>
      <c r="H26" s="212"/>
    </row>
    <row r="27" spans="1:11" ht="54" customHeight="1" x14ac:dyDescent="0.3">
      <c r="A27" s="211"/>
      <c r="B27" s="638"/>
      <c r="C27" s="480" t="s">
        <v>289</v>
      </c>
      <c r="D27" s="213" t="s">
        <v>47</v>
      </c>
      <c r="E27" s="214" t="s">
        <v>54</v>
      </c>
      <c r="F27" s="213" t="s">
        <v>48</v>
      </c>
      <c r="G27" s="214" t="s">
        <v>55</v>
      </c>
      <c r="H27" s="215" t="s">
        <v>9</v>
      </c>
      <c r="K27" s="233"/>
    </row>
    <row r="28" spans="1:11" x14ac:dyDescent="0.3">
      <c r="A28" s="211"/>
      <c r="B28" s="216" t="s">
        <v>238</v>
      </c>
      <c r="C28" s="217">
        <f>'Fixed Assets P. Yr.'!B31</f>
        <v>0</v>
      </c>
      <c r="D28" s="217">
        <f>SUM('Fixed Assets P. Yr.'!B27:B28)</f>
        <v>0</v>
      </c>
      <c r="E28" s="217">
        <f>SUM('Fixed Assets P. Yr.'!B9:B17)</f>
        <v>0</v>
      </c>
      <c r="F28" s="217">
        <f>'Fixed Assets P. Yr.'!B24</f>
        <v>0</v>
      </c>
      <c r="G28" s="217">
        <f>SUM('Fixed Assets P. Yr.'!B20:B21)</f>
        <v>0</v>
      </c>
      <c r="H28" s="218">
        <f>SUM(C28:G28)</f>
        <v>0</v>
      </c>
    </row>
    <row r="29" spans="1:11" x14ac:dyDescent="0.3">
      <c r="A29" s="211"/>
      <c r="B29" s="219" t="s">
        <v>49</v>
      </c>
      <c r="C29" s="220">
        <f>'Fixed Assets P. Yr.'!C31+'Fixed Assets P. Yr.'!D31</f>
        <v>0</v>
      </c>
      <c r="D29" s="221">
        <f>'Fixed Assets P. Yr.'!C27+'Fixed Assets P. Yr.'!C28+'Fixed Assets P. Yr.'!D27+'Fixed Assets P. Yr.'!D28</f>
        <v>0</v>
      </c>
      <c r="E29" s="222">
        <f>SUM('Fixed Assets P. Yr.'!C9:D17)</f>
        <v>0</v>
      </c>
      <c r="F29" s="223">
        <v>0</v>
      </c>
      <c r="G29" s="224">
        <f>SUM('Fixed Assets P. Yr.'!C20:D21)</f>
        <v>0</v>
      </c>
      <c r="H29" s="223">
        <f>SUM(C29:G29)</f>
        <v>0</v>
      </c>
    </row>
    <row r="30" spans="1:11" x14ac:dyDescent="0.3">
      <c r="A30" s="211"/>
      <c r="B30" s="219" t="s">
        <v>50</v>
      </c>
      <c r="C30" s="223">
        <f>'Fixed Assets P. Yr.'!E31</f>
        <v>0</v>
      </c>
      <c r="D30" s="225">
        <v>0</v>
      </c>
      <c r="E30" s="226">
        <f>SUM('Fixed Assets P. Yr.'!E10:E10)</f>
        <v>0</v>
      </c>
      <c r="F30" s="223">
        <v>0</v>
      </c>
      <c r="G30" s="227">
        <f>SUM('Fixed Assets P. Yr.'!E20:E21)</f>
        <v>0</v>
      </c>
      <c r="H30" s="223">
        <f>SUM(C30:G30)</f>
        <v>0</v>
      </c>
    </row>
    <row r="31" spans="1:11" x14ac:dyDescent="0.3">
      <c r="A31" s="211"/>
      <c r="B31" s="228" t="s">
        <v>9</v>
      </c>
      <c r="C31" s="229">
        <f t="shared" ref="C31:H31" si="2">C28+C29-C30</f>
        <v>0</v>
      </c>
      <c r="D31" s="230">
        <f t="shared" si="2"/>
        <v>0</v>
      </c>
      <c r="E31" s="229">
        <f t="shared" si="2"/>
        <v>0</v>
      </c>
      <c r="F31" s="229">
        <f t="shared" si="2"/>
        <v>0</v>
      </c>
      <c r="G31" s="231">
        <f t="shared" si="2"/>
        <v>0</v>
      </c>
      <c r="H31" s="229">
        <f t="shared" si="2"/>
        <v>0</v>
      </c>
    </row>
    <row r="32" spans="1:11" ht="9.9" customHeight="1" x14ac:dyDescent="0.3">
      <c r="A32" s="211"/>
      <c r="B32" s="232"/>
      <c r="C32" s="233"/>
      <c r="D32" s="233"/>
      <c r="E32" s="233"/>
      <c r="F32" s="233"/>
      <c r="G32" s="233"/>
      <c r="H32" s="234"/>
    </row>
    <row r="33" spans="1:8" x14ac:dyDescent="0.3">
      <c r="A33" s="211"/>
      <c r="B33" s="235" t="s">
        <v>119</v>
      </c>
      <c r="C33" s="236"/>
      <c r="D33" s="237"/>
      <c r="E33" s="237"/>
      <c r="F33" s="237"/>
      <c r="G33" s="237"/>
      <c r="H33" s="238"/>
    </row>
    <row r="34" spans="1:8" x14ac:dyDescent="0.3">
      <c r="A34" s="211"/>
      <c r="B34" s="219" t="s">
        <v>241</v>
      </c>
      <c r="C34" s="239">
        <v>0</v>
      </c>
      <c r="D34" s="239">
        <v>0</v>
      </c>
      <c r="E34" s="239">
        <v>0</v>
      </c>
      <c r="F34" s="239">
        <v>0</v>
      </c>
      <c r="G34" s="239">
        <v>0</v>
      </c>
      <c r="H34" s="240">
        <f>SUM(C34:G34)</f>
        <v>0</v>
      </c>
    </row>
    <row r="35" spans="1:8" x14ac:dyDescent="0.3">
      <c r="A35" s="211"/>
      <c r="B35" s="219" t="s">
        <v>49</v>
      </c>
      <c r="C35" s="241">
        <f>'Fixed Assets P. Yr.'!H31</f>
        <v>0</v>
      </c>
      <c r="D35" s="242">
        <f>'Fixed Assets P. Yr.'!H27+'Fixed Assets P. Yr.'!H28</f>
        <v>0</v>
      </c>
      <c r="E35" s="243">
        <f>SUM('Fixed Assets P. Yr.'!H9:H17)</f>
        <v>0</v>
      </c>
      <c r="F35" s="222">
        <f>'Fixed Assets P. Yr.'!H24</f>
        <v>0</v>
      </c>
      <c r="G35" s="224">
        <f>SUM('Fixed Assets P. Yr.'!H20:H21)</f>
        <v>0</v>
      </c>
      <c r="H35" s="223">
        <f>SUM(C35:G35)</f>
        <v>0</v>
      </c>
    </row>
    <row r="36" spans="1:8" x14ac:dyDescent="0.3">
      <c r="A36" s="211"/>
      <c r="B36" s="219" t="s">
        <v>50</v>
      </c>
      <c r="C36" s="244">
        <v>0</v>
      </c>
      <c r="D36" s="226">
        <v>0</v>
      </c>
      <c r="E36" s="245">
        <v>0</v>
      </c>
      <c r="F36" s="226">
        <v>0</v>
      </c>
      <c r="G36" s="245">
        <v>0</v>
      </c>
      <c r="H36" s="226">
        <f>SUM(C36:G36)</f>
        <v>0</v>
      </c>
    </row>
    <row r="37" spans="1:8" x14ac:dyDescent="0.3">
      <c r="A37" s="211"/>
      <c r="B37" s="246" t="s">
        <v>9</v>
      </c>
      <c r="C37" s="247">
        <f t="shared" ref="C37:H37" si="3">C34+C35-C36</f>
        <v>0</v>
      </c>
      <c r="D37" s="247">
        <f t="shared" si="3"/>
        <v>0</v>
      </c>
      <c r="E37" s="247">
        <f t="shared" si="3"/>
        <v>0</v>
      </c>
      <c r="F37" s="247">
        <f t="shared" si="3"/>
        <v>0</v>
      </c>
      <c r="G37" s="247">
        <f t="shared" si="3"/>
        <v>0</v>
      </c>
      <c r="H37" s="248">
        <f t="shared" si="3"/>
        <v>0</v>
      </c>
    </row>
    <row r="38" spans="1:8" ht="15" customHeight="1" x14ac:dyDescent="0.3">
      <c r="A38" s="211"/>
      <c r="B38" s="232"/>
      <c r="C38" s="233"/>
      <c r="D38" s="233"/>
      <c r="E38" s="233"/>
      <c r="F38" s="233"/>
      <c r="G38" s="233"/>
      <c r="H38" s="234"/>
    </row>
    <row r="39" spans="1:8" x14ac:dyDescent="0.3">
      <c r="A39" s="211"/>
      <c r="B39" s="249" t="s">
        <v>267</v>
      </c>
      <c r="C39" s="250">
        <f t="shared" ref="C39:H39" si="4">C31-C37</f>
        <v>0</v>
      </c>
      <c r="D39" s="250">
        <f t="shared" si="4"/>
        <v>0</v>
      </c>
      <c r="E39" s="250">
        <f t="shared" si="4"/>
        <v>0</v>
      </c>
      <c r="F39" s="250">
        <f t="shared" si="4"/>
        <v>0</v>
      </c>
      <c r="G39" s="250">
        <f t="shared" si="4"/>
        <v>0</v>
      </c>
      <c r="H39" s="250">
        <f t="shared" si="4"/>
        <v>0</v>
      </c>
    </row>
    <row r="40" spans="1:8" x14ac:dyDescent="0.3">
      <c r="A40" s="211"/>
    </row>
    <row r="41" spans="1:8" x14ac:dyDescent="0.3">
      <c r="A41" s="211"/>
    </row>
    <row r="42" spans="1:8" ht="16.2" hidden="1" x14ac:dyDescent="0.3">
      <c r="A42" s="211"/>
      <c r="B42" s="210" t="s">
        <v>234</v>
      </c>
    </row>
    <row r="43" spans="1:8" hidden="1" x14ac:dyDescent="0.3">
      <c r="A43" s="211"/>
      <c r="B43" s="637" t="s">
        <v>52</v>
      </c>
      <c r="C43" s="639" t="s">
        <v>118</v>
      </c>
      <c r="D43" s="640"/>
      <c r="E43" s="640"/>
      <c r="F43" s="640"/>
      <c r="G43" s="641"/>
      <c r="H43" s="251"/>
    </row>
    <row r="44" spans="1:8" ht="43.2" hidden="1" x14ac:dyDescent="0.3">
      <c r="A44" s="211"/>
      <c r="B44" s="638"/>
      <c r="C44" s="480" t="s">
        <v>187</v>
      </c>
      <c r="D44" s="252" t="s">
        <v>47</v>
      </c>
      <c r="E44" s="215" t="s">
        <v>54</v>
      </c>
      <c r="F44" s="252" t="s">
        <v>48</v>
      </c>
      <c r="G44" s="215" t="s">
        <v>55</v>
      </c>
      <c r="H44" s="215" t="s">
        <v>9</v>
      </c>
    </row>
    <row r="45" spans="1:8" hidden="1" x14ac:dyDescent="0.3">
      <c r="A45" s="211"/>
      <c r="B45" s="253" t="s">
        <v>152</v>
      </c>
      <c r="C45" s="254">
        <f>'FA2022'!C11</f>
        <v>0</v>
      </c>
      <c r="D45" s="255">
        <f>SUM('FA2022'!C13:C14)</f>
        <v>17746.52</v>
      </c>
      <c r="E45" s="256">
        <f>SUM('FA2022'!C16:C24)</f>
        <v>480494.88999999996</v>
      </c>
      <c r="F45" s="256">
        <f>'FA2022'!C26</f>
        <v>7870.32</v>
      </c>
      <c r="G45" s="257">
        <f>'FA2022'!C28</f>
        <v>454987.87</v>
      </c>
      <c r="H45" s="256">
        <f>SUM(C45:G45)</f>
        <v>961099.6</v>
      </c>
    </row>
    <row r="46" spans="1:8" hidden="1" x14ac:dyDescent="0.3">
      <c r="A46" s="211"/>
      <c r="B46" s="219" t="s">
        <v>49</v>
      </c>
      <c r="C46" s="223">
        <f>SUM('FA2022'!D11:E11)</f>
        <v>2168060</v>
      </c>
      <c r="D46" s="242">
        <f>SUM('FA2022'!D13:E14)</f>
        <v>0</v>
      </c>
      <c r="E46" s="223">
        <f>SUM('FA2022'!D16:E24)</f>
        <v>62486.75</v>
      </c>
      <c r="F46" s="223">
        <f>SUM('FA2022'!D26:E26)</f>
        <v>0</v>
      </c>
      <c r="G46" s="224">
        <f>SUM('FA2022'!D28:E28)</f>
        <v>0</v>
      </c>
      <c r="H46" s="222">
        <f>SUM(C46:G46)</f>
        <v>2230546.75</v>
      </c>
    </row>
    <row r="47" spans="1:8" hidden="1" x14ac:dyDescent="0.3">
      <c r="A47" s="211"/>
      <c r="B47" s="219" t="s">
        <v>50</v>
      </c>
      <c r="C47" s="226">
        <f>'FA2022'!F11</f>
        <v>0</v>
      </c>
      <c r="D47" s="226">
        <f>SUM('FA2022'!F13:F14)</f>
        <v>0</v>
      </c>
      <c r="E47" s="226">
        <f>SUM('FA2022'!F16:F24)</f>
        <v>0</v>
      </c>
      <c r="F47" s="226">
        <f>'FA2022'!F26</f>
        <v>0</v>
      </c>
      <c r="G47" s="245">
        <f>'FA2022'!F28</f>
        <v>0</v>
      </c>
      <c r="H47" s="222">
        <f>SUM(C47:G47)</f>
        <v>0</v>
      </c>
    </row>
    <row r="48" spans="1:8" ht="14.25" hidden="1" customHeight="1" x14ac:dyDescent="0.3">
      <c r="A48" s="211"/>
      <c r="B48" s="228" t="s">
        <v>153</v>
      </c>
      <c r="C48" s="229">
        <f>+C45+C46-C47</f>
        <v>2168060</v>
      </c>
      <c r="D48" s="229">
        <f>+D45+D46-D47</f>
        <v>17746.52</v>
      </c>
      <c r="E48" s="229">
        <f>+E45+E46-E47</f>
        <v>542981.6399999999</v>
      </c>
      <c r="F48" s="229">
        <f>+F45+F46-F47</f>
        <v>7870.32</v>
      </c>
      <c r="G48" s="231">
        <f>G45+G46-G47</f>
        <v>454987.87</v>
      </c>
      <c r="H48" s="229">
        <f>+H45+H46-H47</f>
        <v>3191646.35</v>
      </c>
    </row>
    <row r="49" spans="1:10" ht="13.5" hidden="1" customHeight="1" x14ac:dyDescent="0.3">
      <c r="A49" s="211"/>
      <c r="B49" s="258"/>
      <c r="C49" s="259"/>
      <c r="D49" s="259"/>
      <c r="E49" s="259"/>
      <c r="F49" s="259"/>
      <c r="G49" s="259"/>
      <c r="H49" s="260"/>
    </row>
    <row r="50" spans="1:10" hidden="1" x14ac:dyDescent="0.3">
      <c r="A50" s="211"/>
      <c r="B50" s="235" t="s">
        <v>119</v>
      </c>
      <c r="C50" s="261"/>
      <c r="D50" s="261"/>
      <c r="E50" s="261"/>
      <c r="F50" s="261"/>
      <c r="G50" s="261"/>
      <c r="H50" s="262"/>
    </row>
    <row r="51" spans="1:10" hidden="1" x14ac:dyDescent="0.3">
      <c r="A51" s="211"/>
      <c r="B51" s="219" t="s">
        <v>51</v>
      </c>
      <c r="C51" s="239">
        <v>0</v>
      </c>
      <c r="D51" s="240">
        <v>0</v>
      </c>
      <c r="E51" s="263">
        <v>0</v>
      </c>
      <c r="F51" s="240">
        <v>0</v>
      </c>
      <c r="G51" s="263">
        <v>0</v>
      </c>
      <c r="H51" s="240">
        <f>SUM(C51:G51)</f>
        <v>0</v>
      </c>
    </row>
    <row r="52" spans="1:10" hidden="1" x14ac:dyDescent="0.3">
      <c r="A52" s="211"/>
      <c r="B52" s="219" t="s">
        <v>49</v>
      </c>
      <c r="C52" s="241">
        <f>'FA2022'!I11</f>
        <v>0</v>
      </c>
      <c r="D52" s="242">
        <f>SUM('FA2022'!I13:I14)</f>
        <v>2222.6745000000001</v>
      </c>
      <c r="E52" s="243">
        <f>SUM('FA2022'!I16:I24)</f>
        <v>80334.958500000008</v>
      </c>
      <c r="F52" s="222">
        <f>'FA2022'!I26</f>
        <v>3148.1279999999997</v>
      </c>
      <c r="G52" s="243">
        <f>'FA2022'!I28</f>
        <v>68248.180500000002</v>
      </c>
      <c r="H52" s="223">
        <f>SUM(C52:G52)</f>
        <v>153953.94150000002</v>
      </c>
    </row>
    <row r="53" spans="1:10" hidden="1" x14ac:dyDescent="0.3">
      <c r="A53" s="211"/>
      <c r="B53" s="219" t="s">
        <v>50</v>
      </c>
      <c r="C53" s="244">
        <v>0</v>
      </c>
      <c r="D53" s="226">
        <v>0</v>
      </c>
      <c r="E53" s="245">
        <v>0</v>
      </c>
      <c r="F53" s="226">
        <v>0</v>
      </c>
      <c r="G53" s="245">
        <v>0</v>
      </c>
      <c r="H53" s="264">
        <f>SUM(C53:G53)</f>
        <v>0</v>
      </c>
    </row>
    <row r="54" spans="1:10" hidden="1" x14ac:dyDescent="0.3">
      <c r="A54" s="211"/>
      <c r="B54" s="228" t="s">
        <v>153</v>
      </c>
      <c r="C54" s="229">
        <f>+C51+C52-C53</f>
        <v>0</v>
      </c>
      <c r="D54" s="229">
        <f>+D51+D52-D53</f>
        <v>2222.6745000000001</v>
      </c>
      <c r="E54" s="229">
        <f>+E51+E52-E53</f>
        <v>80334.958500000008</v>
      </c>
      <c r="F54" s="229">
        <f>+F51+F52-F53</f>
        <v>3148.1279999999997</v>
      </c>
      <c r="G54" s="229">
        <f>G51+G52-G53</f>
        <v>68248.180500000002</v>
      </c>
      <c r="H54" s="229">
        <f>+H51+H52-H53</f>
        <v>153953.94150000002</v>
      </c>
    </row>
    <row r="55" spans="1:10" ht="15.75" hidden="1" customHeight="1" x14ac:dyDescent="0.3">
      <c r="A55" s="211"/>
      <c r="B55" s="258"/>
      <c r="C55" s="265"/>
      <c r="D55" s="265"/>
      <c r="E55" s="265"/>
      <c r="F55" s="265"/>
      <c r="G55" s="265"/>
      <c r="H55" s="266"/>
    </row>
    <row r="56" spans="1:10" hidden="1" x14ac:dyDescent="0.3">
      <c r="A56" s="211"/>
      <c r="B56" s="251" t="s">
        <v>178</v>
      </c>
      <c r="C56" s="250">
        <f t="shared" ref="C56:H56" si="5">C48-C54</f>
        <v>2168060</v>
      </c>
      <c r="D56" s="250">
        <f t="shared" si="5"/>
        <v>15523.845499999999</v>
      </c>
      <c r="E56" s="250">
        <f t="shared" si="5"/>
        <v>462646.68149999989</v>
      </c>
      <c r="F56" s="250">
        <f t="shared" si="5"/>
        <v>4722.192</v>
      </c>
      <c r="G56" s="250">
        <f t="shared" si="5"/>
        <v>386739.68949999998</v>
      </c>
      <c r="H56" s="250">
        <f t="shared" si="5"/>
        <v>3037692.4084999999</v>
      </c>
    </row>
    <row r="57" spans="1:10" x14ac:dyDescent="0.3">
      <c r="A57" s="211"/>
    </row>
    <row r="58" spans="1:10" x14ac:dyDescent="0.3">
      <c r="A58" s="211"/>
      <c r="J58" s="302"/>
    </row>
    <row r="59" spans="1:10" x14ac:dyDescent="0.3">
      <c r="A59" s="211"/>
    </row>
    <row r="60" spans="1:10" ht="18" x14ac:dyDescent="0.35">
      <c r="A60" s="211"/>
      <c r="B60" s="5"/>
      <c r="C60" s="267"/>
      <c r="D60" s="267"/>
      <c r="E60" s="267"/>
      <c r="F60" s="268"/>
      <c r="G60" s="268"/>
      <c r="H60" s="5"/>
    </row>
    <row r="61" spans="1:10" x14ac:dyDescent="0.3">
      <c r="A61" s="211"/>
      <c r="B61" s="269" t="e">
        <f>'notes to p&amp;l'!#REF!</f>
        <v>#REF!</v>
      </c>
      <c r="C61" s="269"/>
      <c r="D61" s="269"/>
      <c r="E61" s="269"/>
      <c r="F61" s="269"/>
      <c r="G61" s="270" t="e">
        <f>bs!#REF!</f>
        <v>#REF!</v>
      </c>
      <c r="H61" s="271"/>
    </row>
    <row r="62" spans="1:10" ht="20.100000000000001" customHeight="1" x14ac:dyDescent="0.3">
      <c r="A62" s="211"/>
      <c r="B62" s="269" t="e">
        <f>'notes to p&amp;l'!#REF!</f>
        <v>#REF!</v>
      </c>
      <c r="C62" s="269"/>
      <c r="D62" s="269"/>
      <c r="E62" s="269"/>
      <c r="F62" s="269"/>
      <c r="G62" s="270" t="e">
        <f>'notes to p&amp;l'!#REF!</f>
        <v>#REF!</v>
      </c>
      <c r="H62" s="271"/>
    </row>
    <row r="63" spans="1:10" x14ac:dyDescent="0.3">
      <c r="A63" s="211"/>
      <c r="G63" s="496"/>
      <c r="H63" s="496"/>
    </row>
    <row r="64" spans="1:10" x14ac:dyDescent="0.3">
      <c r="A64" s="211"/>
      <c r="G64" s="496"/>
      <c r="H64" s="496"/>
    </row>
    <row r="65" spans="1:8" ht="16.2" x14ac:dyDescent="0.3">
      <c r="A65" s="211"/>
      <c r="G65" s="496"/>
      <c r="H65" s="5"/>
    </row>
    <row r="66" spans="1:8" x14ac:dyDescent="0.3">
      <c r="A66" s="211"/>
      <c r="G66" s="496"/>
      <c r="H66" s="271"/>
    </row>
    <row r="67" spans="1:8" x14ac:dyDescent="0.3">
      <c r="A67" s="211"/>
      <c r="G67" s="451"/>
      <c r="H67" s="496"/>
    </row>
    <row r="68" spans="1:8" x14ac:dyDescent="0.3">
      <c r="A68" s="211"/>
      <c r="G68" s="451"/>
      <c r="H68" s="496"/>
    </row>
    <row r="69" spans="1:8" ht="16.2" x14ac:dyDescent="0.3">
      <c r="A69" s="211"/>
      <c r="G69" s="5"/>
      <c r="H69" s="5"/>
    </row>
    <row r="70" spans="1:8" x14ac:dyDescent="0.3">
      <c r="A70" s="211"/>
      <c r="G70" s="496"/>
      <c r="H70" s="496"/>
    </row>
    <row r="71" spans="1:8" ht="16.2" x14ac:dyDescent="0.3">
      <c r="A71" s="211"/>
      <c r="G71" s="496"/>
      <c r="H71" s="5"/>
    </row>
    <row r="72" spans="1:8" x14ac:dyDescent="0.3">
      <c r="A72" s="211"/>
      <c r="G72" s="496"/>
      <c r="H72" s="496"/>
    </row>
    <row r="73" spans="1:8" x14ac:dyDescent="0.3">
      <c r="A73" s="211"/>
      <c r="G73" s="496"/>
      <c r="H73" s="496"/>
    </row>
    <row r="74" spans="1:8" x14ac:dyDescent="0.3">
      <c r="A74" s="211"/>
      <c r="G74" s="496"/>
      <c r="H74" s="271"/>
    </row>
    <row r="75" spans="1:8" x14ac:dyDescent="0.3">
      <c r="A75" s="211"/>
      <c r="G75" s="496"/>
      <c r="H75" s="271"/>
    </row>
    <row r="76" spans="1:8" x14ac:dyDescent="0.3">
      <c r="A76" s="211"/>
      <c r="G76" s="451"/>
      <c r="H76" s="271"/>
    </row>
    <row r="77" spans="1:8" x14ac:dyDescent="0.3">
      <c r="A77" s="211"/>
      <c r="G77" s="451"/>
      <c r="H77" s="271"/>
    </row>
    <row r="78" spans="1:8" ht="16.2" x14ac:dyDescent="0.3">
      <c r="A78" s="211"/>
      <c r="G78" s="5"/>
      <c r="H78" s="5"/>
    </row>
    <row r="79" spans="1:8" x14ac:dyDescent="0.3">
      <c r="A79" s="211"/>
      <c r="G79" s="451"/>
      <c r="H79" s="271"/>
    </row>
    <row r="80" spans="1:8" x14ac:dyDescent="0.3">
      <c r="A80" s="211"/>
      <c r="G80" s="451"/>
      <c r="H80" s="271"/>
    </row>
    <row r="81" spans="1:8" x14ac:dyDescent="0.3">
      <c r="A81" s="211"/>
      <c r="G81" s="271"/>
      <c r="H81" s="271"/>
    </row>
    <row r="82" spans="1:8" x14ac:dyDescent="0.3">
      <c r="A82" s="211"/>
      <c r="G82" s="271"/>
      <c r="H82" s="271"/>
    </row>
    <row r="83" spans="1:8" x14ac:dyDescent="0.3">
      <c r="A83" s="211"/>
      <c r="G83" s="271"/>
      <c r="H83" s="271"/>
    </row>
    <row r="84" spans="1:8" x14ac:dyDescent="0.3">
      <c r="A84" s="211"/>
      <c r="G84" s="271"/>
      <c r="H84" s="271"/>
    </row>
    <row r="85" spans="1:8" x14ac:dyDescent="0.3">
      <c r="A85" s="211"/>
      <c r="G85" s="271"/>
      <c r="H85" s="271"/>
    </row>
    <row r="86" spans="1:8" x14ac:dyDescent="0.3">
      <c r="A86" s="211"/>
      <c r="G86" s="271"/>
      <c r="H86" s="271"/>
    </row>
    <row r="87" spans="1:8" x14ac:dyDescent="0.3">
      <c r="A87" s="211"/>
      <c r="G87" s="271"/>
      <c r="H87" s="271"/>
    </row>
    <row r="88" spans="1:8" x14ac:dyDescent="0.3">
      <c r="A88" s="369"/>
      <c r="G88" s="271"/>
      <c r="H88" s="271"/>
    </row>
    <row r="89" spans="1:8" x14ac:dyDescent="0.3">
      <c r="G89" s="403"/>
      <c r="H89" s="403"/>
    </row>
    <row r="90" spans="1:8" x14ac:dyDescent="0.3">
      <c r="G90" s="403"/>
      <c r="H90" s="403"/>
    </row>
    <row r="91" spans="1:8" x14ac:dyDescent="0.3">
      <c r="G91" s="403"/>
      <c r="H91" s="403"/>
    </row>
    <row r="92" spans="1:8" x14ac:dyDescent="0.3">
      <c r="G92" s="403"/>
      <c r="H92" s="403"/>
    </row>
    <row r="93" spans="1:8" x14ac:dyDescent="0.3">
      <c r="G93" s="403"/>
      <c r="H93" s="403"/>
    </row>
    <row r="94" spans="1:8" x14ac:dyDescent="0.3">
      <c r="G94" s="403"/>
      <c r="H94" s="403"/>
    </row>
    <row r="95" spans="1:8" x14ac:dyDescent="0.3">
      <c r="G95" s="403"/>
      <c r="H95" s="403"/>
    </row>
    <row r="96" spans="1:8" x14ac:dyDescent="0.3">
      <c r="G96" s="403"/>
      <c r="H96" s="403"/>
    </row>
    <row r="97" spans="2:8" x14ac:dyDescent="0.3">
      <c r="G97" s="403"/>
      <c r="H97" s="403"/>
    </row>
    <row r="98" spans="2:8" x14ac:dyDescent="0.3">
      <c r="G98" s="403"/>
      <c r="H98" s="403"/>
    </row>
    <row r="99" spans="2:8" x14ac:dyDescent="0.3">
      <c r="G99" s="403"/>
      <c r="H99" s="403"/>
    </row>
    <row r="100" spans="2:8" x14ac:dyDescent="0.3">
      <c r="G100" s="403"/>
      <c r="H100" s="403"/>
    </row>
    <row r="101" spans="2:8" x14ac:dyDescent="0.3">
      <c r="G101" s="403"/>
      <c r="H101" s="403"/>
    </row>
    <row r="102" spans="2:8" x14ac:dyDescent="0.3">
      <c r="G102" s="403"/>
      <c r="H102" s="403"/>
    </row>
    <row r="103" spans="2:8" x14ac:dyDescent="0.3">
      <c r="G103" s="403"/>
      <c r="H103" s="403"/>
    </row>
    <row r="104" spans="2:8" x14ac:dyDescent="0.3">
      <c r="G104" s="403"/>
      <c r="H104" s="403"/>
    </row>
    <row r="105" spans="2:8" x14ac:dyDescent="0.3">
      <c r="G105" s="403"/>
      <c r="H105" s="403"/>
    </row>
    <row r="106" spans="2:8" x14ac:dyDescent="0.3">
      <c r="G106" s="403"/>
      <c r="H106" s="403"/>
    </row>
    <row r="107" spans="2:8" x14ac:dyDescent="0.3">
      <c r="B107" s="403"/>
      <c r="C107" s="403"/>
      <c r="D107" s="403"/>
      <c r="E107" s="403"/>
      <c r="F107" s="403"/>
      <c r="G107" s="403"/>
      <c r="H107" s="403"/>
    </row>
    <row r="108" spans="2:8" x14ac:dyDescent="0.3">
      <c r="B108" s="403"/>
      <c r="C108" s="403"/>
      <c r="D108" s="403"/>
      <c r="E108" s="403"/>
      <c r="F108" s="403"/>
      <c r="G108" s="403"/>
      <c r="H108" s="403"/>
    </row>
    <row r="109" spans="2:8" x14ac:dyDescent="0.3">
      <c r="B109" s="403"/>
      <c r="C109" s="403"/>
      <c r="D109" s="403"/>
      <c r="E109" s="403"/>
      <c r="F109" s="403"/>
      <c r="G109" s="403"/>
      <c r="H109" s="403"/>
    </row>
    <row r="110" spans="2:8" x14ac:dyDescent="0.3">
      <c r="B110" s="403"/>
      <c r="C110" s="403"/>
      <c r="D110" s="403"/>
      <c r="E110" s="403"/>
      <c r="F110" s="403"/>
      <c r="G110" s="403"/>
      <c r="H110" s="403"/>
    </row>
  </sheetData>
  <mergeCells count="9">
    <mergeCell ref="A1:I1"/>
    <mergeCell ref="A2:I2"/>
    <mergeCell ref="B43:B44"/>
    <mergeCell ref="C43:G43"/>
    <mergeCell ref="A4:F4"/>
    <mergeCell ref="B26:B27"/>
    <mergeCell ref="C26:G26"/>
    <mergeCell ref="B7:B8"/>
    <mergeCell ref="C7:G7"/>
  </mergeCells>
  <pageMargins left="0.70866141732283472" right="0" top="0.74803149606299213" bottom="0.74803149606299213" header="0.31496062992125984" footer="0.31496062992125984"/>
  <pageSetup scale="6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6"/>
  <sheetViews>
    <sheetView view="pageBreakPreview" zoomScale="89" zoomScaleNormal="91" zoomScaleSheetLayoutView="89" workbookViewId="0">
      <selection activeCell="F30" sqref="F30"/>
    </sheetView>
  </sheetViews>
  <sheetFormatPr defaultRowHeight="14.4" x14ac:dyDescent="0.3"/>
  <cols>
    <col min="1" max="1" width="35.109375" customWidth="1"/>
    <col min="2" max="2" width="17.33203125" style="75" bestFit="1" customWidth="1"/>
    <col min="3" max="3" width="18.5546875" customWidth="1"/>
    <col min="4" max="4" width="17.5546875" bestFit="1" customWidth="1"/>
    <col min="5" max="5" width="15.88671875" customWidth="1"/>
    <col min="6" max="6" width="16" style="75" bestFit="1" customWidth="1"/>
    <col min="7" max="7" width="9" bestFit="1" customWidth="1"/>
    <col min="8" max="8" width="20.5546875" customWidth="1"/>
    <col min="9" max="9" width="16" style="75" bestFit="1" customWidth="1"/>
    <col min="10" max="10" width="14.6640625" customWidth="1"/>
    <col min="11" max="11" width="12.5546875" bestFit="1" customWidth="1"/>
    <col min="12" max="12" width="10.88671875" bestFit="1" customWidth="1"/>
  </cols>
  <sheetData>
    <row r="1" spans="1:12" x14ac:dyDescent="0.3">
      <c r="A1" s="644" t="str">
        <f>bs!A1</f>
        <v xml:space="preserve"> M/S XYZ CO.</v>
      </c>
      <c r="B1" s="644"/>
      <c r="C1" s="644"/>
      <c r="D1" s="644"/>
      <c r="E1" s="644"/>
      <c r="F1" s="644"/>
      <c r="G1" s="644"/>
      <c r="H1" s="644"/>
      <c r="I1" s="644"/>
      <c r="J1" s="603"/>
      <c r="K1" s="603"/>
      <c r="L1" s="603"/>
    </row>
    <row r="2" spans="1:12" x14ac:dyDescent="0.3">
      <c r="A2" s="644" t="s">
        <v>251</v>
      </c>
      <c r="B2" s="644"/>
      <c r="C2" s="644"/>
      <c r="D2" s="644"/>
      <c r="E2" s="644"/>
      <c r="F2" s="644"/>
      <c r="G2" s="644"/>
      <c r="H2" s="644"/>
      <c r="I2" s="644"/>
    </row>
    <row r="3" spans="1:12" ht="15.6" x14ac:dyDescent="0.3">
      <c r="A3" s="604" t="s">
        <v>324</v>
      </c>
    </row>
    <row r="4" spans="1:12" ht="16.2" thickBot="1" x14ac:dyDescent="0.35">
      <c r="A4" s="643" t="s">
        <v>87</v>
      </c>
      <c r="B4" s="643"/>
      <c r="C4" s="643"/>
      <c r="D4" s="643"/>
      <c r="E4" s="643"/>
      <c r="F4" s="643"/>
      <c r="G4" s="643"/>
      <c r="H4" s="643"/>
      <c r="I4" s="643"/>
    </row>
    <row r="5" spans="1:12" ht="15.6" x14ac:dyDescent="0.3">
      <c r="A5" s="49" t="s">
        <v>53</v>
      </c>
      <c r="B5" s="71" t="s">
        <v>88</v>
      </c>
      <c r="C5" s="50" t="s">
        <v>89</v>
      </c>
      <c r="D5" s="50" t="s">
        <v>89</v>
      </c>
      <c r="E5" s="50"/>
      <c r="F5" s="85"/>
      <c r="G5" s="51" t="s">
        <v>90</v>
      </c>
      <c r="H5" s="80"/>
      <c r="I5" s="86" t="s">
        <v>91</v>
      </c>
    </row>
    <row r="6" spans="1:12" ht="15.6" x14ac:dyDescent="0.3">
      <c r="A6" s="52"/>
      <c r="B6" s="73" t="s">
        <v>92</v>
      </c>
      <c r="C6" s="53" t="s">
        <v>93</v>
      </c>
      <c r="D6" s="53" t="s">
        <v>94</v>
      </c>
      <c r="E6" s="53" t="s">
        <v>95</v>
      </c>
      <c r="F6" s="92" t="s">
        <v>41</v>
      </c>
      <c r="G6" s="54"/>
      <c r="H6" s="81" t="s">
        <v>96</v>
      </c>
      <c r="I6" s="87" t="s">
        <v>92</v>
      </c>
      <c r="K6">
        <v>6141</v>
      </c>
    </row>
    <row r="7" spans="1:12" ht="15.6" x14ac:dyDescent="0.3">
      <c r="A7" s="52"/>
      <c r="B7" s="92" t="s">
        <v>252</v>
      </c>
      <c r="C7" s="53" t="s">
        <v>98</v>
      </c>
      <c r="D7" s="53" t="s">
        <v>98</v>
      </c>
      <c r="E7" s="53"/>
      <c r="F7" s="92"/>
      <c r="G7" s="54"/>
      <c r="H7" s="81"/>
      <c r="I7" s="88" t="s">
        <v>253</v>
      </c>
    </row>
    <row r="8" spans="1:12" ht="16.2" thickBot="1" x14ac:dyDescent="0.35">
      <c r="A8" s="10"/>
      <c r="B8" s="72" t="s">
        <v>109</v>
      </c>
      <c r="C8" s="55" t="str">
        <f>B8</f>
        <v>Amount in Rs.</v>
      </c>
      <c r="D8" s="55" t="str">
        <f>C8</f>
        <v>Amount in Rs.</v>
      </c>
      <c r="E8" s="55" t="str">
        <f>D8</f>
        <v>Amount in Rs.</v>
      </c>
      <c r="F8" s="72" t="str">
        <f>E8</f>
        <v>Amount in Rs.</v>
      </c>
      <c r="G8" s="56" t="s">
        <v>99</v>
      </c>
      <c r="H8" s="82" t="str">
        <f>F8</f>
        <v>Amount in Rs.</v>
      </c>
      <c r="I8" s="89" t="str">
        <f>H8</f>
        <v>Amount in Rs.</v>
      </c>
    </row>
    <row r="9" spans="1:12" ht="15.6" x14ac:dyDescent="0.3">
      <c r="A9" s="32"/>
      <c r="B9" s="73"/>
      <c r="C9" s="57"/>
      <c r="D9" s="57"/>
      <c r="E9" s="57"/>
      <c r="F9" s="73"/>
      <c r="G9" s="54"/>
      <c r="H9" s="83"/>
      <c r="I9" s="171"/>
    </row>
    <row r="10" spans="1:12" ht="15.6" x14ac:dyDescent="0.3">
      <c r="A10" s="52" t="s">
        <v>107</v>
      </c>
      <c r="B10" s="74"/>
      <c r="C10" s="33"/>
      <c r="D10" s="33"/>
      <c r="E10" s="33"/>
      <c r="F10" s="74"/>
      <c r="G10" s="34"/>
      <c r="H10" s="84"/>
      <c r="I10" s="74"/>
    </row>
    <row r="11" spans="1:12" ht="15.6" x14ac:dyDescent="0.3">
      <c r="A11" s="32"/>
      <c r="B11" s="74"/>
      <c r="C11" s="610">
        <v>0</v>
      </c>
      <c r="D11" s="610">
        <v>0</v>
      </c>
      <c r="E11" s="610">
        <v>0</v>
      </c>
      <c r="F11" s="74">
        <f t="shared" ref="F11:F12" si="0">B11+C11+D11-E11</f>
        <v>0</v>
      </c>
      <c r="G11" s="34">
        <v>15</v>
      </c>
      <c r="H11" s="84">
        <f t="shared" ref="H11:H12" si="1">(B11+C11-E11)*G11/100+(D11*G11/200)</f>
        <v>0</v>
      </c>
      <c r="I11" s="74">
        <f t="shared" ref="I11:I12" si="2">F11-H11</f>
        <v>0</v>
      </c>
    </row>
    <row r="12" spans="1:12" ht="15.6" x14ac:dyDescent="0.3">
      <c r="A12" s="32"/>
      <c r="B12" s="74"/>
      <c r="C12" s="610">
        <v>0</v>
      </c>
      <c r="D12" s="610">
        <v>0</v>
      </c>
      <c r="E12" s="610">
        <v>0</v>
      </c>
      <c r="F12" s="74">
        <f t="shared" si="0"/>
        <v>0</v>
      </c>
      <c r="G12" s="34">
        <v>15</v>
      </c>
      <c r="H12" s="84">
        <f t="shared" si="1"/>
        <v>0</v>
      </c>
      <c r="I12" s="74">
        <f t="shared" si="2"/>
        <v>0</v>
      </c>
    </row>
    <row r="13" spans="1:12" ht="15.6" x14ac:dyDescent="0.3">
      <c r="A13" s="32"/>
      <c r="B13" s="74"/>
      <c r="C13" s="610">
        <v>0</v>
      </c>
      <c r="D13" s="610">
        <v>0</v>
      </c>
      <c r="E13" s="610">
        <v>0</v>
      </c>
      <c r="F13" s="74">
        <f>B13+C13+D13-E13</f>
        <v>0</v>
      </c>
      <c r="G13" s="34">
        <v>15</v>
      </c>
      <c r="H13" s="84">
        <f>(B13+C13-E13)*G13/100+(D13*G13/200)</f>
        <v>0</v>
      </c>
      <c r="I13" s="74">
        <f>F13-H13</f>
        <v>0</v>
      </c>
      <c r="K13">
        <v>17945.2</v>
      </c>
    </row>
    <row r="14" spans="1:12" ht="15.6" x14ac:dyDescent="0.3">
      <c r="A14" s="32"/>
      <c r="B14" s="74"/>
      <c r="C14" s="610">
        <v>0</v>
      </c>
      <c r="D14" s="610">
        <v>0</v>
      </c>
      <c r="E14" s="610">
        <v>0</v>
      </c>
      <c r="F14" s="74">
        <f t="shared" ref="F14" si="3">B14+C14+D14-E14</f>
        <v>0</v>
      </c>
      <c r="G14" s="34">
        <v>15</v>
      </c>
      <c r="H14" s="84">
        <f t="shared" ref="H14" si="4">(B14+C14-E14)*G14/100+(D14*G14/200)</f>
        <v>0</v>
      </c>
      <c r="I14" s="74">
        <f t="shared" ref="I14" si="5">F14-H14</f>
        <v>0</v>
      </c>
    </row>
    <row r="15" spans="1:12" ht="15.6" x14ac:dyDescent="0.3">
      <c r="A15" s="32"/>
      <c r="B15" s="74"/>
      <c r="C15" s="610">
        <v>0</v>
      </c>
      <c r="D15" s="610">
        <v>0</v>
      </c>
      <c r="E15" s="610">
        <v>0</v>
      </c>
      <c r="F15" s="74">
        <f t="shared" ref="F15:F21" si="6">B15+C15+D15-E15</f>
        <v>0</v>
      </c>
      <c r="G15" s="34">
        <v>15</v>
      </c>
      <c r="H15" s="84">
        <f t="shared" ref="H15:H21" si="7">(B15+C15-E15)*G15/100+(D15*G15/200)</f>
        <v>0</v>
      </c>
      <c r="I15" s="74">
        <f t="shared" ref="I15:I21" si="8">F15-H15</f>
        <v>0</v>
      </c>
    </row>
    <row r="16" spans="1:12" ht="15.6" x14ac:dyDescent="0.3">
      <c r="A16" s="32"/>
      <c r="B16" s="74"/>
      <c r="C16" s="610">
        <v>0</v>
      </c>
      <c r="D16" s="610">
        <v>0</v>
      </c>
      <c r="E16" s="610">
        <v>0</v>
      </c>
      <c r="F16" s="74">
        <f t="shared" si="6"/>
        <v>0</v>
      </c>
      <c r="G16" s="34">
        <v>15</v>
      </c>
      <c r="H16" s="84">
        <f t="shared" si="7"/>
        <v>0</v>
      </c>
      <c r="I16" s="74">
        <f t="shared" si="8"/>
        <v>0</v>
      </c>
    </row>
    <row r="17" spans="1:11" ht="15.6" x14ac:dyDescent="0.3">
      <c r="A17" s="32"/>
      <c r="B17" s="74"/>
      <c r="C17" s="610">
        <v>0</v>
      </c>
      <c r="D17" s="610">
        <v>0</v>
      </c>
      <c r="E17" s="610">
        <v>0</v>
      </c>
      <c r="F17" s="74">
        <f t="shared" si="6"/>
        <v>0</v>
      </c>
      <c r="G17" s="34">
        <v>15</v>
      </c>
      <c r="H17" s="84">
        <f t="shared" si="7"/>
        <v>0</v>
      </c>
      <c r="I17" s="74">
        <f t="shared" si="8"/>
        <v>0</v>
      </c>
    </row>
    <row r="18" spans="1:11" ht="15.6" x14ac:dyDescent="0.3">
      <c r="A18" s="32"/>
      <c r="B18" s="74"/>
      <c r="C18" s="610">
        <v>0</v>
      </c>
      <c r="D18" s="610">
        <v>0</v>
      </c>
      <c r="E18" s="610">
        <v>0</v>
      </c>
      <c r="F18" s="74">
        <f t="shared" si="6"/>
        <v>0</v>
      </c>
      <c r="G18" s="34">
        <v>15</v>
      </c>
      <c r="H18" s="84">
        <f t="shared" si="7"/>
        <v>0</v>
      </c>
      <c r="I18" s="74">
        <f t="shared" si="8"/>
        <v>0</v>
      </c>
    </row>
    <row r="19" spans="1:11" ht="15.6" x14ac:dyDescent="0.3">
      <c r="A19" s="32"/>
      <c r="B19" s="74"/>
      <c r="C19" s="610">
        <v>0</v>
      </c>
      <c r="D19" s="610">
        <v>0</v>
      </c>
      <c r="E19" s="610">
        <v>0</v>
      </c>
      <c r="F19" s="74">
        <f t="shared" si="6"/>
        <v>0</v>
      </c>
      <c r="G19" s="34">
        <v>15</v>
      </c>
      <c r="H19" s="84">
        <f t="shared" si="7"/>
        <v>0</v>
      </c>
      <c r="I19" s="74">
        <f t="shared" si="8"/>
        <v>0</v>
      </c>
    </row>
    <row r="20" spans="1:11" ht="15.6" x14ac:dyDescent="0.3">
      <c r="A20" s="32"/>
      <c r="B20" s="74"/>
      <c r="C20" s="610">
        <v>0</v>
      </c>
      <c r="D20" s="610">
        <v>0</v>
      </c>
      <c r="E20" s="610">
        <v>0</v>
      </c>
      <c r="F20" s="74">
        <f t="shared" si="6"/>
        <v>0</v>
      </c>
      <c r="G20" s="34">
        <v>15</v>
      </c>
      <c r="H20" s="84">
        <f t="shared" si="7"/>
        <v>0</v>
      </c>
      <c r="I20" s="74">
        <f t="shared" si="8"/>
        <v>0</v>
      </c>
    </row>
    <row r="21" spans="1:11" ht="15.6" x14ac:dyDescent="0.3">
      <c r="A21" s="32"/>
      <c r="B21" s="74"/>
      <c r="C21" s="610">
        <v>0</v>
      </c>
      <c r="D21" s="610">
        <v>0</v>
      </c>
      <c r="E21" s="610">
        <v>0</v>
      </c>
      <c r="F21" s="74">
        <f t="shared" si="6"/>
        <v>0</v>
      </c>
      <c r="G21" s="34">
        <v>15</v>
      </c>
      <c r="H21" s="84">
        <f t="shared" si="7"/>
        <v>0</v>
      </c>
      <c r="I21" s="74">
        <f t="shared" si="8"/>
        <v>0</v>
      </c>
    </row>
    <row r="22" spans="1:11" ht="15.6" x14ac:dyDescent="0.3">
      <c r="A22" s="32"/>
      <c r="B22" s="142"/>
      <c r="C22" s="610"/>
      <c r="D22" s="610"/>
      <c r="E22" s="610"/>
      <c r="F22" s="142"/>
      <c r="G22" s="143"/>
      <c r="H22" s="144"/>
      <c r="I22" s="142"/>
    </row>
    <row r="23" spans="1:11" ht="15.6" x14ac:dyDescent="0.3">
      <c r="A23" s="52" t="s">
        <v>108</v>
      </c>
      <c r="B23" s="142"/>
      <c r="C23" s="610"/>
      <c r="D23" s="610"/>
      <c r="E23" s="610"/>
      <c r="F23" s="142"/>
      <c r="G23" s="143"/>
      <c r="H23" s="144"/>
      <c r="I23" s="142"/>
    </row>
    <row r="24" spans="1:11" ht="15.6" x14ac:dyDescent="0.3">
      <c r="A24" s="32" t="s">
        <v>313</v>
      </c>
      <c r="B24" s="74"/>
      <c r="C24" s="610">
        <v>0</v>
      </c>
      <c r="D24" s="610">
        <v>0</v>
      </c>
      <c r="E24" s="610">
        <v>0</v>
      </c>
      <c r="F24" s="74">
        <f t="shared" ref="F24" si="9">B24+C24+D24-E24</f>
        <v>0</v>
      </c>
      <c r="G24" s="34">
        <v>15</v>
      </c>
      <c r="H24" s="84">
        <f t="shared" ref="H24" si="10">(B24+C24-E24)*G24/100+(D24*G24/200)</f>
        <v>0</v>
      </c>
      <c r="I24" s="74">
        <f t="shared" ref="I24" si="11">F24-H24</f>
        <v>0</v>
      </c>
    </row>
    <row r="25" spans="1:11" ht="15.6" x14ac:dyDescent="0.3">
      <c r="A25" s="32" t="s">
        <v>314</v>
      </c>
      <c r="B25" s="74"/>
      <c r="C25" s="610">
        <v>0</v>
      </c>
      <c r="D25" s="610">
        <v>0</v>
      </c>
      <c r="E25" s="610">
        <v>0</v>
      </c>
      <c r="F25" s="74">
        <f t="shared" ref="F25:F26" si="12">B25+C25+D25-E25</f>
        <v>0</v>
      </c>
      <c r="G25" s="34">
        <v>15</v>
      </c>
      <c r="H25" s="84">
        <f>(B25+C25-E25)*G25/100+(D25*G25/200)</f>
        <v>0</v>
      </c>
      <c r="I25" s="74">
        <f>F25-H25</f>
        <v>0</v>
      </c>
      <c r="K25">
        <v>3166.7280000000001</v>
      </c>
    </row>
    <row r="26" spans="1:11" ht="15.6" x14ac:dyDescent="0.3">
      <c r="A26" s="32"/>
      <c r="B26" s="74"/>
      <c r="C26" s="610">
        <v>0</v>
      </c>
      <c r="D26" s="610">
        <v>0</v>
      </c>
      <c r="E26" s="610">
        <v>0</v>
      </c>
      <c r="F26" s="74">
        <f t="shared" si="12"/>
        <v>0</v>
      </c>
      <c r="G26" s="34">
        <v>15</v>
      </c>
      <c r="H26" s="84">
        <f t="shared" ref="H26:H33" si="13">(B26+C26-E26)*G26/100+(D26*G26/200)</f>
        <v>0</v>
      </c>
      <c r="I26" s="74">
        <f t="shared" ref="I26:I33" si="14">F26-H26</f>
        <v>0</v>
      </c>
    </row>
    <row r="27" spans="1:11" ht="15.6" x14ac:dyDescent="0.3">
      <c r="A27" s="32"/>
      <c r="B27" s="74"/>
      <c r="C27" s="610">
        <v>0</v>
      </c>
      <c r="D27" s="610">
        <v>0</v>
      </c>
      <c r="E27" s="610">
        <v>0</v>
      </c>
      <c r="F27" s="74">
        <f t="shared" ref="F27:F33" si="15">B27+C27+D27-E27</f>
        <v>0</v>
      </c>
      <c r="G27" s="34">
        <v>15</v>
      </c>
      <c r="H27" s="84">
        <f t="shared" si="13"/>
        <v>0</v>
      </c>
      <c r="I27" s="74">
        <f t="shared" si="14"/>
        <v>0</v>
      </c>
    </row>
    <row r="28" spans="1:11" ht="15.6" x14ac:dyDescent="0.3">
      <c r="A28" s="32"/>
      <c r="B28" s="74"/>
      <c r="C28" s="610">
        <v>0</v>
      </c>
      <c r="D28" s="610">
        <v>0</v>
      </c>
      <c r="E28" s="610">
        <v>0</v>
      </c>
      <c r="F28" s="74">
        <f t="shared" si="15"/>
        <v>0</v>
      </c>
      <c r="G28" s="34">
        <v>15</v>
      </c>
      <c r="H28" s="84">
        <f t="shared" si="13"/>
        <v>0</v>
      </c>
      <c r="I28" s="74">
        <f t="shared" si="14"/>
        <v>0</v>
      </c>
    </row>
    <row r="29" spans="1:11" ht="15.6" x14ac:dyDescent="0.3">
      <c r="A29" s="32"/>
      <c r="B29" s="74"/>
      <c r="C29" s="610">
        <v>0</v>
      </c>
      <c r="D29" s="610">
        <v>0</v>
      </c>
      <c r="E29" s="610">
        <v>0</v>
      </c>
      <c r="F29" s="74">
        <f t="shared" si="15"/>
        <v>0</v>
      </c>
      <c r="G29" s="34">
        <v>15</v>
      </c>
      <c r="H29" s="84">
        <f t="shared" si="13"/>
        <v>0</v>
      </c>
      <c r="I29" s="74">
        <f t="shared" si="14"/>
        <v>0</v>
      </c>
    </row>
    <row r="30" spans="1:11" ht="15.6" x14ac:dyDescent="0.3">
      <c r="A30" s="32"/>
      <c r="B30" s="74"/>
      <c r="C30" s="610">
        <v>0</v>
      </c>
      <c r="D30" s="610">
        <v>0</v>
      </c>
      <c r="E30" s="610">
        <v>0</v>
      </c>
      <c r="F30" s="74">
        <f t="shared" si="15"/>
        <v>0</v>
      </c>
      <c r="G30" s="34">
        <v>15</v>
      </c>
      <c r="H30" s="84">
        <f t="shared" si="13"/>
        <v>0</v>
      </c>
      <c r="I30" s="74">
        <f t="shared" si="14"/>
        <v>0</v>
      </c>
    </row>
    <row r="31" spans="1:11" ht="15.6" x14ac:dyDescent="0.3">
      <c r="A31" s="32"/>
      <c r="B31" s="74"/>
      <c r="C31" s="610">
        <v>0</v>
      </c>
      <c r="D31" s="610">
        <v>0</v>
      </c>
      <c r="E31" s="610">
        <v>0</v>
      </c>
      <c r="F31" s="74">
        <f t="shared" si="15"/>
        <v>0</v>
      </c>
      <c r="G31" s="34">
        <v>15</v>
      </c>
      <c r="H31" s="84">
        <f t="shared" si="13"/>
        <v>0</v>
      </c>
      <c r="I31" s="74">
        <f t="shared" si="14"/>
        <v>0</v>
      </c>
    </row>
    <row r="32" spans="1:11" ht="15.6" x14ac:dyDescent="0.3">
      <c r="A32" s="32"/>
      <c r="B32" s="74"/>
      <c r="C32" s="610">
        <v>0</v>
      </c>
      <c r="D32" s="610">
        <v>0</v>
      </c>
      <c r="E32" s="610">
        <v>0</v>
      </c>
      <c r="F32" s="74">
        <f t="shared" si="15"/>
        <v>0</v>
      </c>
      <c r="G32" s="34">
        <v>15</v>
      </c>
      <c r="H32" s="84">
        <f t="shared" si="13"/>
        <v>0</v>
      </c>
      <c r="I32" s="74">
        <f t="shared" si="14"/>
        <v>0</v>
      </c>
    </row>
    <row r="33" spans="1:9" ht="15.6" x14ac:dyDescent="0.3">
      <c r="A33" s="32"/>
      <c r="B33" s="74"/>
      <c r="C33" s="610">
        <v>0</v>
      </c>
      <c r="D33" s="610">
        <v>0</v>
      </c>
      <c r="E33" s="610">
        <v>0</v>
      </c>
      <c r="F33" s="74">
        <f t="shared" si="15"/>
        <v>0</v>
      </c>
      <c r="G33" s="34">
        <v>15</v>
      </c>
      <c r="H33" s="84">
        <f t="shared" si="13"/>
        <v>0</v>
      </c>
      <c r="I33" s="74">
        <f t="shared" si="14"/>
        <v>0</v>
      </c>
    </row>
    <row r="34" spans="1:9" ht="15.6" x14ac:dyDescent="0.3">
      <c r="A34" s="32"/>
      <c r="B34" s="142"/>
      <c r="C34" s="610"/>
      <c r="D34" s="610"/>
      <c r="E34" s="610"/>
      <c r="F34" s="142"/>
      <c r="G34" s="143"/>
      <c r="H34" s="144"/>
      <c r="I34" s="142"/>
    </row>
    <row r="35" spans="1:9" ht="15.6" x14ac:dyDescent="0.3">
      <c r="A35" s="52" t="s">
        <v>285</v>
      </c>
      <c r="B35" s="142"/>
      <c r="C35" s="610"/>
      <c r="D35" s="610"/>
      <c r="E35" s="610"/>
      <c r="F35" s="142"/>
      <c r="G35" s="34"/>
      <c r="H35" s="144"/>
      <c r="I35" s="142"/>
    </row>
    <row r="36" spans="1:9" ht="15.6" x14ac:dyDescent="0.3">
      <c r="A36" s="32" t="s">
        <v>292</v>
      </c>
      <c r="B36" s="74"/>
      <c r="C36" s="610">
        <v>0</v>
      </c>
      <c r="D36" s="610">
        <v>0</v>
      </c>
      <c r="E36" s="610">
        <v>0</v>
      </c>
      <c r="F36" s="74">
        <f t="shared" ref="F36" si="16">B36+C36+D36-E36</f>
        <v>0</v>
      </c>
      <c r="G36" s="34">
        <v>10</v>
      </c>
      <c r="H36" s="84">
        <f t="shared" ref="H36" si="17">(B36+C36-E36)*G36/100+(D36*G36/200)</f>
        <v>0</v>
      </c>
      <c r="I36" s="74">
        <f t="shared" ref="I36" si="18">F36-H36</f>
        <v>0</v>
      </c>
    </row>
    <row r="37" spans="1:9" ht="15.6" x14ac:dyDescent="0.3">
      <c r="A37" s="32"/>
      <c r="B37" s="74"/>
      <c r="C37" s="610">
        <v>0</v>
      </c>
      <c r="D37" s="610">
        <v>0</v>
      </c>
      <c r="E37" s="610">
        <v>0</v>
      </c>
      <c r="F37" s="74">
        <f t="shared" ref="F37:F44" si="19">B37+C37+D37-E37</f>
        <v>0</v>
      </c>
      <c r="G37" s="34">
        <v>10</v>
      </c>
      <c r="H37" s="84">
        <f t="shared" ref="H37:H44" si="20">(B37+C37-E37)*G37/100+(D37*G37/200)</f>
        <v>0</v>
      </c>
      <c r="I37" s="74">
        <f t="shared" ref="I37:I44" si="21">F37-H37</f>
        <v>0</v>
      </c>
    </row>
    <row r="38" spans="1:9" ht="15.6" x14ac:dyDescent="0.3">
      <c r="A38" s="32"/>
      <c r="B38" s="74"/>
      <c r="C38" s="610">
        <v>0</v>
      </c>
      <c r="D38" s="610">
        <v>0</v>
      </c>
      <c r="E38" s="610">
        <v>0</v>
      </c>
      <c r="F38" s="74">
        <f t="shared" si="19"/>
        <v>0</v>
      </c>
      <c r="G38" s="34">
        <v>10</v>
      </c>
      <c r="H38" s="84">
        <f t="shared" si="20"/>
        <v>0</v>
      </c>
      <c r="I38" s="74">
        <f t="shared" si="21"/>
        <v>0</v>
      </c>
    </row>
    <row r="39" spans="1:9" ht="15.6" x14ac:dyDescent="0.3">
      <c r="A39" s="32"/>
      <c r="B39" s="74"/>
      <c r="C39" s="610">
        <v>0</v>
      </c>
      <c r="D39" s="610">
        <v>0</v>
      </c>
      <c r="E39" s="610">
        <v>0</v>
      </c>
      <c r="F39" s="74">
        <f t="shared" si="19"/>
        <v>0</v>
      </c>
      <c r="G39" s="34">
        <v>10</v>
      </c>
      <c r="H39" s="84">
        <f t="shared" si="20"/>
        <v>0</v>
      </c>
      <c r="I39" s="74">
        <f t="shared" si="21"/>
        <v>0</v>
      </c>
    </row>
    <row r="40" spans="1:9" ht="15.6" x14ac:dyDescent="0.3">
      <c r="A40" s="32"/>
      <c r="B40" s="74"/>
      <c r="C40" s="610">
        <v>0</v>
      </c>
      <c r="D40" s="610">
        <v>0</v>
      </c>
      <c r="E40" s="610">
        <v>0</v>
      </c>
      <c r="F40" s="74">
        <f t="shared" si="19"/>
        <v>0</v>
      </c>
      <c r="G40" s="34">
        <v>10</v>
      </c>
      <c r="H40" s="84">
        <f t="shared" si="20"/>
        <v>0</v>
      </c>
      <c r="I40" s="74">
        <f t="shared" si="21"/>
        <v>0</v>
      </c>
    </row>
    <row r="41" spans="1:9" ht="15.6" x14ac:dyDescent="0.3">
      <c r="A41" s="32"/>
      <c r="B41" s="74"/>
      <c r="C41" s="610">
        <v>0</v>
      </c>
      <c r="D41" s="610">
        <v>0</v>
      </c>
      <c r="E41" s="610">
        <v>0</v>
      </c>
      <c r="F41" s="74">
        <f t="shared" si="19"/>
        <v>0</v>
      </c>
      <c r="G41" s="34">
        <v>10</v>
      </c>
      <c r="H41" s="84">
        <f t="shared" si="20"/>
        <v>0</v>
      </c>
      <c r="I41" s="74">
        <f t="shared" si="21"/>
        <v>0</v>
      </c>
    </row>
    <row r="42" spans="1:9" ht="15.6" x14ac:dyDescent="0.3">
      <c r="A42" s="32"/>
      <c r="B42" s="74"/>
      <c r="C42" s="610">
        <v>0</v>
      </c>
      <c r="D42" s="610">
        <v>0</v>
      </c>
      <c r="E42" s="610">
        <v>0</v>
      </c>
      <c r="F42" s="74">
        <f t="shared" si="19"/>
        <v>0</v>
      </c>
      <c r="G42" s="34">
        <v>10</v>
      </c>
      <c r="H42" s="84">
        <f t="shared" si="20"/>
        <v>0</v>
      </c>
      <c r="I42" s="74">
        <f t="shared" si="21"/>
        <v>0</v>
      </c>
    </row>
    <row r="43" spans="1:9" ht="15.6" x14ac:dyDescent="0.3">
      <c r="A43" s="32"/>
      <c r="B43" s="74"/>
      <c r="C43" s="610">
        <v>0</v>
      </c>
      <c r="D43" s="610">
        <v>0</v>
      </c>
      <c r="E43" s="610">
        <v>0</v>
      </c>
      <c r="F43" s="74">
        <f t="shared" si="19"/>
        <v>0</v>
      </c>
      <c r="G43" s="34">
        <v>10</v>
      </c>
      <c r="H43" s="84">
        <f t="shared" si="20"/>
        <v>0</v>
      </c>
      <c r="I43" s="74">
        <f t="shared" si="21"/>
        <v>0</v>
      </c>
    </row>
    <row r="44" spans="1:9" ht="15.6" x14ac:dyDescent="0.3">
      <c r="A44" s="32"/>
      <c r="B44" s="74"/>
      <c r="C44" s="610">
        <v>0</v>
      </c>
      <c r="D44" s="610">
        <v>0</v>
      </c>
      <c r="E44" s="610">
        <v>0</v>
      </c>
      <c r="F44" s="74">
        <f t="shared" si="19"/>
        <v>0</v>
      </c>
      <c r="G44" s="34">
        <v>10</v>
      </c>
      <c r="H44" s="84">
        <f t="shared" si="20"/>
        <v>0</v>
      </c>
      <c r="I44" s="74">
        <f t="shared" si="21"/>
        <v>0</v>
      </c>
    </row>
    <row r="45" spans="1:9" ht="15.6" x14ac:dyDescent="0.3">
      <c r="A45" s="32"/>
      <c r="B45" s="74"/>
      <c r="C45" s="610"/>
      <c r="D45" s="610"/>
      <c r="E45" s="610"/>
      <c r="F45" s="74"/>
      <c r="G45" s="34"/>
      <c r="H45" s="84"/>
      <c r="I45" s="74"/>
    </row>
    <row r="46" spans="1:9" ht="15.6" x14ac:dyDescent="0.3">
      <c r="A46" s="52" t="s">
        <v>331</v>
      </c>
      <c r="B46" s="74"/>
      <c r="C46" s="610"/>
      <c r="D46" s="610"/>
      <c r="E46" s="610"/>
      <c r="F46" s="74"/>
      <c r="G46" s="34"/>
      <c r="H46" s="84"/>
      <c r="I46" s="74"/>
    </row>
    <row r="47" spans="1:9" ht="15.6" x14ac:dyDescent="0.3">
      <c r="A47" s="32"/>
      <c r="B47" s="74"/>
      <c r="C47" s="610">
        <v>0</v>
      </c>
      <c r="D47" s="610">
        <v>0</v>
      </c>
      <c r="E47" s="610">
        <v>0</v>
      </c>
      <c r="F47" s="74">
        <f t="shared" ref="F47:F50" si="22">B47+C47+D47-E47</f>
        <v>0</v>
      </c>
      <c r="G47" s="34">
        <v>40</v>
      </c>
      <c r="H47" s="84">
        <f>(B47+C47-E47)*G47/100+(D47*G47/200)</f>
        <v>0</v>
      </c>
      <c r="I47" s="74">
        <f t="shared" ref="I47:I50" si="23">F47-H47</f>
        <v>0</v>
      </c>
    </row>
    <row r="48" spans="1:9" ht="15.6" x14ac:dyDescent="0.3">
      <c r="A48" s="32"/>
      <c r="B48" s="74"/>
      <c r="C48" s="610">
        <v>0</v>
      </c>
      <c r="D48" s="610">
        <v>0</v>
      </c>
      <c r="E48" s="610">
        <v>0</v>
      </c>
      <c r="F48" s="74">
        <f t="shared" si="22"/>
        <v>0</v>
      </c>
      <c r="G48" s="34">
        <v>40</v>
      </c>
      <c r="H48" s="84">
        <f t="shared" ref="H48:H50" si="24">(B48+C48-E48)*G48/100+(D48*G48/200)</f>
        <v>0</v>
      </c>
      <c r="I48" s="74">
        <f t="shared" si="23"/>
        <v>0</v>
      </c>
    </row>
    <row r="49" spans="1:9" ht="15.6" x14ac:dyDescent="0.3">
      <c r="A49" s="32"/>
      <c r="B49" s="74"/>
      <c r="C49" s="610">
        <v>0</v>
      </c>
      <c r="D49" s="610">
        <v>0</v>
      </c>
      <c r="E49" s="610">
        <v>0</v>
      </c>
      <c r="F49" s="74">
        <f t="shared" si="22"/>
        <v>0</v>
      </c>
      <c r="G49" s="34">
        <v>40</v>
      </c>
      <c r="H49" s="84">
        <f t="shared" si="24"/>
        <v>0</v>
      </c>
      <c r="I49" s="74">
        <f t="shared" si="23"/>
        <v>0</v>
      </c>
    </row>
    <row r="50" spans="1:9" ht="15.6" x14ac:dyDescent="0.3">
      <c r="A50" s="32"/>
      <c r="B50" s="74"/>
      <c r="C50" s="610">
        <v>0</v>
      </c>
      <c r="D50" s="610">
        <v>0</v>
      </c>
      <c r="E50" s="610">
        <v>0</v>
      </c>
      <c r="F50" s="74">
        <f t="shared" si="22"/>
        <v>0</v>
      </c>
      <c r="G50" s="34">
        <v>40</v>
      </c>
      <c r="H50" s="84">
        <f t="shared" si="24"/>
        <v>0</v>
      </c>
      <c r="I50" s="74">
        <f t="shared" si="23"/>
        <v>0</v>
      </c>
    </row>
    <row r="51" spans="1:9" ht="15.6" x14ac:dyDescent="0.3">
      <c r="A51" s="52"/>
      <c r="B51" s="74"/>
      <c r="C51" s="610"/>
      <c r="D51" s="610"/>
      <c r="E51" s="610"/>
      <c r="F51" s="74"/>
      <c r="G51" s="34"/>
      <c r="H51" s="84"/>
      <c r="I51" s="74"/>
    </row>
    <row r="52" spans="1:9" ht="15.6" x14ac:dyDescent="0.3">
      <c r="A52" s="52" t="s">
        <v>179</v>
      </c>
      <c r="B52" s="74"/>
      <c r="C52" s="610"/>
      <c r="D52" s="610"/>
      <c r="E52" s="610"/>
      <c r="F52" s="74"/>
      <c r="G52" s="34"/>
      <c r="H52" s="84"/>
      <c r="I52" s="74"/>
    </row>
    <row r="53" spans="1:9" ht="15.6" x14ac:dyDescent="0.3">
      <c r="A53" s="32"/>
      <c r="B53" s="74"/>
      <c r="C53" s="610">
        <v>0</v>
      </c>
      <c r="D53" s="610">
        <v>0</v>
      </c>
      <c r="E53" s="610">
        <v>0</v>
      </c>
      <c r="F53" s="74">
        <f t="shared" ref="F53:F57" si="25">B53+C53+D53-E53</f>
        <v>0</v>
      </c>
      <c r="G53" s="34">
        <v>0</v>
      </c>
      <c r="H53" s="84">
        <f t="shared" ref="H53:H57" si="26">(B53+C53-E53)*G53/100+(D53*G53/200)</f>
        <v>0</v>
      </c>
      <c r="I53" s="74">
        <f t="shared" ref="I53:I57" si="27">F53-H53</f>
        <v>0</v>
      </c>
    </row>
    <row r="54" spans="1:9" ht="15.6" x14ac:dyDescent="0.3">
      <c r="A54" s="32"/>
      <c r="B54" s="74"/>
      <c r="C54" s="610">
        <v>0</v>
      </c>
      <c r="D54" s="610">
        <v>0</v>
      </c>
      <c r="E54" s="610">
        <v>0</v>
      </c>
      <c r="F54" s="74">
        <f t="shared" si="25"/>
        <v>0</v>
      </c>
      <c r="G54" s="34">
        <v>0</v>
      </c>
      <c r="H54" s="84">
        <f t="shared" si="26"/>
        <v>0</v>
      </c>
      <c r="I54" s="74">
        <f t="shared" si="27"/>
        <v>0</v>
      </c>
    </row>
    <row r="55" spans="1:9" ht="15.6" x14ac:dyDescent="0.3">
      <c r="A55" s="32"/>
      <c r="B55" s="74"/>
      <c r="C55" s="610">
        <v>0</v>
      </c>
      <c r="D55" s="610">
        <v>0</v>
      </c>
      <c r="E55" s="610">
        <v>0</v>
      </c>
      <c r="F55" s="74">
        <f t="shared" si="25"/>
        <v>0</v>
      </c>
      <c r="G55" s="34">
        <v>0</v>
      </c>
      <c r="H55" s="84">
        <f t="shared" si="26"/>
        <v>0</v>
      </c>
      <c r="I55" s="74">
        <f t="shared" si="27"/>
        <v>0</v>
      </c>
    </row>
    <row r="56" spans="1:9" ht="15.6" x14ac:dyDescent="0.3">
      <c r="A56" s="32"/>
      <c r="B56" s="74"/>
      <c r="C56" s="610">
        <v>0</v>
      </c>
      <c r="D56" s="610">
        <v>0</v>
      </c>
      <c r="E56" s="610">
        <v>0</v>
      </c>
      <c r="F56" s="74">
        <f t="shared" si="25"/>
        <v>0</v>
      </c>
      <c r="G56" s="34">
        <v>0</v>
      </c>
      <c r="H56" s="84">
        <f t="shared" si="26"/>
        <v>0</v>
      </c>
      <c r="I56" s="74">
        <f t="shared" si="27"/>
        <v>0</v>
      </c>
    </row>
    <row r="57" spans="1:9" ht="15.6" x14ac:dyDescent="0.3">
      <c r="A57" s="32"/>
      <c r="B57" s="74"/>
      <c r="C57" s="610">
        <v>0</v>
      </c>
      <c r="D57" s="610">
        <v>0</v>
      </c>
      <c r="E57" s="610">
        <v>0</v>
      </c>
      <c r="F57" s="74">
        <f t="shared" si="25"/>
        <v>0</v>
      </c>
      <c r="G57" s="34">
        <v>0</v>
      </c>
      <c r="H57" s="84">
        <f t="shared" si="26"/>
        <v>0</v>
      </c>
      <c r="I57" s="74">
        <f t="shared" si="27"/>
        <v>0</v>
      </c>
    </row>
    <row r="58" spans="1:9" ht="15.6" x14ac:dyDescent="0.3">
      <c r="A58" s="32"/>
      <c r="B58" s="142"/>
      <c r="C58" s="610"/>
      <c r="D58" s="610"/>
      <c r="E58" s="610"/>
      <c r="F58" s="142"/>
      <c r="G58" s="34"/>
      <c r="H58" s="144"/>
      <c r="I58" s="142"/>
    </row>
    <row r="59" spans="1:9" ht="15.6" x14ac:dyDescent="0.3">
      <c r="A59" s="52" t="s">
        <v>290</v>
      </c>
      <c r="B59" s="142"/>
      <c r="C59" s="610"/>
      <c r="D59" s="610"/>
      <c r="E59" s="610"/>
      <c r="F59" s="142"/>
      <c r="G59" s="34"/>
      <c r="H59" s="144"/>
      <c r="I59" s="142"/>
    </row>
    <row r="60" spans="1:9" ht="15.6" x14ac:dyDescent="0.3">
      <c r="A60" s="32" t="s">
        <v>289</v>
      </c>
      <c r="B60" s="74"/>
      <c r="C60" s="610">
        <v>0</v>
      </c>
      <c r="D60" s="610">
        <v>0</v>
      </c>
      <c r="E60" s="610">
        <v>0</v>
      </c>
      <c r="F60" s="74">
        <f t="shared" ref="F60" si="28">B60+C60+D60-E60</f>
        <v>0</v>
      </c>
      <c r="G60" s="34">
        <v>10</v>
      </c>
      <c r="H60" s="84">
        <f t="shared" ref="H60" si="29">(B60+C60-E60)*G60/100+(D60*G60/200)</f>
        <v>0</v>
      </c>
      <c r="I60" s="74">
        <f t="shared" ref="I60" si="30">F60-H60</f>
        <v>0</v>
      </c>
    </row>
    <row r="61" spans="1:9" ht="15.6" x14ac:dyDescent="0.3">
      <c r="A61" s="32"/>
      <c r="B61" s="74"/>
      <c r="C61" s="610">
        <v>0</v>
      </c>
      <c r="D61" s="610">
        <v>0</v>
      </c>
      <c r="E61" s="610">
        <v>0</v>
      </c>
      <c r="F61" s="74">
        <f t="shared" ref="F61:F67" si="31">B61+C61+D61-E61</f>
        <v>0</v>
      </c>
      <c r="G61" s="34">
        <v>10</v>
      </c>
      <c r="H61" s="84">
        <f t="shared" ref="H61:H67" si="32">(B61+C61-E61)*G61/100+(D61*G61/200)</f>
        <v>0</v>
      </c>
      <c r="I61" s="74">
        <f t="shared" ref="I61:I67" si="33">F61-H61</f>
        <v>0</v>
      </c>
    </row>
    <row r="62" spans="1:9" ht="15.6" x14ac:dyDescent="0.3">
      <c r="A62" s="32"/>
      <c r="B62" s="74"/>
      <c r="C62" s="610">
        <v>0</v>
      </c>
      <c r="D62" s="610">
        <v>0</v>
      </c>
      <c r="E62" s="610">
        <v>0</v>
      </c>
      <c r="F62" s="74">
        <f t="shared" si="31"/>
        <v>0</v>
      </c>
      <c r="G62" s="34">
        <v>10</v>
      </c>
      <c r="H62" s="84">
        <f t="shared" si="32"/>
        <v>0</v>
      </c>
      <c r="I62" s="74">
        <f t="shared" si="33"/>
        <v>0</v>
      </c>
    </row>
    <row r="63" spans="1:9" ht="15.6" x14ac:dyDescent="0.3">
      <c r="A63" s="32"/>
      <c r="B63" s="74"/>
      <c r="C63" s="610">
        <v>0</v>
      </c>
      <c r="D63" s="610">
        <v>0</v>
      </c>
      <c r="E63" s="610">
        <v>0</v>
      </c>
      <c r="F63" s="74">
        <f t="shared" si="31"/>
        <v>0</v>
      </c>
      <c r="G63" s="34">
        <v>10</v>
      </c>
      <c r="H63" s="84">
        <f t="shared" si="32"/>
        <v>0</v>
      </c>
      <c r="I63" s="74">
        <f t="shared" si="33"/>
        <v>0</v>
      </c>
    </row>
    <row r="64" spans="1:9" ht="15.6" x14ac:dyDescent="0.3">
      <c r="A64" s="32"/>
      <c r="B64" s="74"/>
      <c r="C64" s="610">
        <v>0</v>
      </c>
      <c r="D64" s="610">
        <v>0</v>
      </c>
      <c r="E64" s="610">
        <v>0</v>
      </c>
      <c r="F64" s="74">
        <f t="shared" si="31"/>
        <v>0</v>
      </c>
      <c r="G64" s="34">
        <v>10</v>
      </c>
      <c r="H64" s="84">
        <f t="shared" si="32"/>
        <v>0</v>
      </c>
      <c r="I64" s="74">
        <f t="shared" si="33"/>
        <v>0</v>
      </c>
    </row>
    <row r="65" spans="1:10" ht="15.6" x14ac:dyDescent="0.3">
      <c r="A65" s="32"/>
      <c r="B65" s="74"/>
      <c r="C65" s="610">
        <v>0</v>
      </c>
      <c r="D65" s="610">
        <v>0</v>
      </c>
      <c r="E65" s="610">
        <v>0</v>
      </c>
      <c r="F65" s="74">
        <f t="shared" si="31"/>
        <v>0</v>
      </c>
      <c r="G65" s="34">
        <v>10</v>
      </c>
      <c r="H65" s="84">
        <f t="shared" si="32"/>
        <v>0</v>
      </c>
      <c r="I65" s="74">
        <f t="shared" si="33"/>
        <v>0</v>
      </c>
    </row>
    <row r="66" spans="1:10" ht="15.6" x14ac:dyDescent="0.3">
      <c r="A66" s="32"/>
      <c r="B66" s="74"/>
      <c r="C66" s="610">
        <v>0</v>
      </c>
      <c r="D66" s="610">
        <v>0</v>
      </c>
      <c r="E66" s="610">
        <v>0</v>
      </c>
      <c r="F66" s="74">
        <f t="shared" si="31"/>
        <v>0</v>
      </c>
      <c r="G66" s="34">
        <v>10</v>
      </c>
      <c r="H66" s="84">
        <f t="shared" si="32"/>
        <v>0</v>
      </c>
      <c r="I66" s="74">
        <f t="shared" si="33"/>
        <v>0</v>
      </c>
    </row>
    <row r="67" spans="1:10" ht="16.2" thickBot="1" x14ac:dyDescent="0.35">
      <c r="A67" s="52"/>
      <c r="B67" s="74"/>
      <c r="C67" s="610">
        <v>0</v>
      </c>
      <c r="D67" s="610">
        <v>0</v>
      </c>
      <c r="E67" s="610">
        <v>0</v>
      </c>
      <c r="F67" s="74">
        <f t="shared" si="31"/>
        <v>0</v>
      </c>
      <c r="G67" s="34">
        <v>10</v>
      </c>
      <c r="H67" s="84">
        <f t="shared" si="32"/>
        <v>0</v>
      </c>
      <c r="I67" s="74">
        <f t="shared" si="33"/>
        <v>0</v>
      </c>
    </row>
    <row r="68" spans="1:10" ht="16.2" thickBot="1" x14ac:dyDescent="0.35">
      <c r="A68" s="93" t="s">
        <v>9</v>
      </c>
      <c r="B68" s="94">
        <f>SUM(B11:B67)</f>
        <v>0</v>
      </c>
      <c r="C68" s="94">
        <f t="shared" ref="C68:F68" si="34">SUM(C11:C67)</f>
        <v>0</v>
      </c>
      <c r="D68" s="94">
        <f t="shared" si="34"/>
        <v>0</v>
      </c>
      <c r="E68" s="94">
        <f t="shared" si="34"/>
        <v>0</v>
      </c>
      <c r="F68" s="94">
        <f t="shared" si="34"/>
        <v>0</v>
      </c>
      <c r="G68" s="59"/>
      <c r="H68" s="94">
        <f t="shared" ref="H68:I68" si="35">SUM(H11:H67)</f>
        <v>0</v>
      </c>
      <c r="I68" s="94">
        <f>SUM(I11:I67)</f>
        <v>0</v>
      </c>
      <c r="J68" s="76">
        <f>H68-'p&amp;l'!F13</f>
        <v>0</v>
      </c>
    </row>
    <row r="69" spans="1:10" x14ac:dyDescent="0.3">
      <c r="A69" s="134"/>
      <c r="B69" s="145"/>
      <c r="C69" s="134"/>
      <c r="D69" s="134"/>
      <c r="E69" s="134"/>
      <c r="F69" s="145"/>
      <c r="G69" s="134"/>
      <c r="H69" s="134"/>
      <c r="I69" s="145"/>
    </row>
    <row r="70" spans="1:10" x14ac:dyDescent="0.3">
      <c r="A70" s="134"/>
      <c r="B70" s="145"/>
      <c r="C70" s="134"/>
      <c r="D70" s="134"/>
      <c r="E70" s="134"/>
      <c r="F70" s="145"/>
      <c r="G70" s="134"/>
      <c r="H70" s="134"/>
      <c r="I70" s="145"/>
    </row>
    <row r="71" spans="1:10" x14ac:dyDescent="0.3">
      <c r="A71" s="134"/>
      <c r="B71" s="145"/>
      <c r="C71" s="134"/>
      <c r="D71" s="134"/>
      <c r="E71" s="134"/>
      <c r="F71" s="145"/>
      <c r="G71" s="134"/>
      <c r="H71" s="134"/>
      <c r="I71" s="145"/>
    </row>
    <row r="72" spans="1:10" x14ac:dyDescent="0.3">
      <c r="A72" s="134"/>
      <c r="B72" s="145"/>
      <c r="C72" s="134"/>
      <c r="D72" s="134"/>
      <c r="E72" s="134"/>
      <c r="F72" s="145"/>
      <c r="G72" s="134"/>
      <c r="H72" s="134"/>
      <c r="I72" s="145"/>
    </row>
    <row r="73" spans="1:10" x14ac:dyDescent="0.3">
      <c r="A73" s="134"/>
      <c r="B73" s="145"/>
      <c r="C73" s="134"/>
      <c r="D73" s="134"/>
      <c r="E73" s="134"/>
      <c r="F73" s="145"/>
      <c r="G73" s="134"/>
      <c r="H73" s="134"/>
      <c r="I73" s="145"/>
    </row>
    <row r="75" spans="1:10" x14ac:dyDescent="0.3">
      <c r="A75" t="s">
        <v>321</v>
      </c>
      <c r="G75" s="75">
        <f>+H68+I68</f>
        <v>0</v>
      </c>
      <c r="H75">
        <v>85941.1</v>
      </c>
    </row>
    <row r="76" spans="1:10" x14ac:dyDescent="0.3">
      <c r="A76" t="s">
        <v>317</v>
      </c>
      <c r="B76" s="75" t="s">
        <v>322</v>
      </c>
      <c r="C76">
        <v>14970.52</v>
      </c>
    </row>
  </sheetData>
  <mergeCells count="3">
    <mergeCell ref="A4:I4"/>
    <mergeCell ref="A1:I1"/>
    <mergeCell ref="A2:I2"/>
  </mergeCells>
  <pageMargins left="1.0900000000000001" right="0.7" top="0.75" bottom="0.75" header="0.3" footer="0.3"/>
  <pageSetup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9"/>
  <sheetViews>
    <sheetView view="pageBreakPreview" zoomScale="89" zoomScaleNormal="91" zoomScaleSheetLayoutView="89" workbookViewId="0">
      <selection activeCell="C11" sqref="C11"/>
    </sheetView>
  </sheetViews>
  <sheetFormatPr defaultRowHeight="14.4" x14ac:dyDescent="0.3"/>
  <cols>
    <col min="1" max="1" width="35.109375" customWidth="1"/>
    <col min="2" max="2" width="17.33203125" style="75" bestFit="1" customWidth="1"/>
    <col min="3" max="3" width="18.5546875" customWidth="1"/>
    <col min="4" max="4" width="17.5546875" bestFit="1" customWidth="1"/>
    <col min="5" max="5" width="15.88671875" customWidth="1"/>
    <col min="6" max="6" width="16" style="75" bestFit="1" customWidth="1"/>
    <col min="7" max="7" width="9" bestFit="1" customWidth="1"/>
    <col min="8" max="8" width="20.5546875" customWidth="1"/>
    <col min="9" max="9" width="16" style="75" bestFit="1" customWidth="1"/>
    <col min="10" max="10" width="14.6640625" customWidth="1"/>
    <col min="11" max="11" width="12.5546875" bestFit="1" customWidth="1"/>
    <col min="12" max="12" width="10.88671875" bestFit="1" customWidth="1"/>
  </cols>
  <sheetData>
    <row r="1" spans="1:9" x14ac:dyDescent="0.3">
      <c r="A1" s="644" t="str">
        <f>bs!A1</f>
        <v xml:space="preserve"> M/S XYZ CO.</v>
      </c>
      <c r="B1" s="644"/>
      <c r="C1" s="644"/>
      <c r="D1" s="644"/>
      <c r="E1" s="644"/>
      <c r="F1" s="644"/>
      <c r="G1" s="644"/>
      <c r="H1" s="644"/>
      <c r="I1" s="644"/>
    </row>
    <row r="2" spans="1:9" ht="16.2" thickBot="1" x14ac:dyDescent="0.35">
      <c r="A2" s="643" t="s">
        <v>87</v>
      </c>
      <c r="B2" s="643"/>
      <c r="C2" s="643"/>
      <c r="D2" s="643"/>
      <c r="E2" s="643"/>
      <c r="F2" s="643"/>
      <c r="G2" s="643"/>
      <c r="H2" s="643"/>
      <c r="I2" s="643"/>
    </row>
    <row r="3" spans="1:9" ht="15.6" x14ac:dyDescent="0.3">
      <c r="A3" s="49" t="s">
        <v>53</v>
      </c>
      <c r="B3" s="71" t="s">
        <v>88</v>
      </c>
      <c r="C3" s="50" t="s">
        <v>89</v>
      </c>
      <c r="D3" s="50" t="s">
        <v>89</v>
      </c>
      <c r="E3" s="50"/>
      <c r="F3" s="85"/>
      <c r="G3" s="51" t="s">
        <v>90</v>
      </c>
      <c r="H3" s="80"/>
      <c r="I3" s="86" t="s">
        <v>91</v>
      </c>
    </row>
    <row r="4" spans="1:9" ht="15.6" x14ac:dyDescent="0.3">
      <c r="A4" s="52"/>
      <c r="B4" s="73" t="s">
        <v>92</v>
      </c>
      <c r="C4" s="53" t="s">
        <v>93</v>
      </c>
      <c r="D4" s="53" t="s">
        <v>94</v>
      </c>
      <c r="E4" s="53" t="s">
        <v>95</v>
      </c>
      <c r="F4" s="92" t="s">
        <v>41</v>
      </c>
      <c r="G4" s="54"/>
      <c r="H4" s="81" t="s">
        <v>96</v>
      </c>
      <c r="I4" s="87" t="s">
        <v>92</v>
      </c>
    </row>
    <row r="5" spans="1:9" ht="15.6" x14ac:dyDescent="0.3">
      <c r="A5" s="52"/>
      <c r="B5" s="92" t="s">
        <v>240</v>
      </c>
      <c r="C5" s="53" t="s">
        <v>98</v>
      </c>
      <c r="D5" s="53" t="s">
        <v>98</v>
      </c>
      <c r="E5" s="53"/>
      <c r="F5" s="92"/>
      <c r="G5" s="54"/>
      <c r="H5" s="81"/>
      <c r="I5" s="88" t="s">
        <v>237</v>
      </c>
    </row>
    <row r="6" spans="1:9" ht="16.2" thickBot="1" x14ac:dyDescent="0.35">
      <c r="A6" s="10"/>
      <c r="B6" s="72" t="s">
        <v>109</v>
      </c>
      <c r="C6" s="55" t="str">
        <f>B6</f>
        <v>Amount in Rs.</v>
      </c>
      <c r="D6" s="55" t="str">
        <f>C6</f>
        <v>Amount in Rs.</v>
      </c>
      <c r="E6" s="55" t="str">
        <f>D6</f>
        <v>Amount in Rs.</v>
      </c>
      <c r="F6" s="72" t="str">
        <f>E6</f>
        <v>Amount in Rs.</v>
      </c>
      <c r="G6" s="56" t="s">
        <v>99</v>
      </c>
      <c r="H6" s="82" t="str">
        <f>F6</f>
        <v>Amount in Rs.</v>
      </c>
      <c r="I6" s="89" t="str">
        <f>H6</f>
        <v>Amount in Rs.</v>
      </c>
    </row>
    <row r="7" spans="1:9" ht="15.6" x14ac:dyDescent="0.3">
      <c r="A7" s="32"/>
      <c r="B7" s="73"/>
      <c r="C7" s="57"/>
      <c r="D7" s="57"/>
      <c r="E7" s="57"/>
      <c r="F7" s="73"/>
      <c r="G7" s="54"/>
      <c r="H7" s="83"/>
      <c r="I7" s="171"/>
    </row>
    <row r="8" spans="1:9" ht="15.6" x14ac:dyDescent="0.3">
      <c r="A8" s="52" t="s">
        <v>107</v>
      </c>
      <c r="B8" s="74"/>
      <c r="C8" s="33"/>
      <c r="D8" s="33"/>
      <c r="E8" s="33"/>
      <c r="F8" s="74"/>
      <c r="G8" s="34"/>
      <c r="H8" s="84">
        <f>(B8+C8)*G8/100+(D8*G8/200)</f>
        <v>0</v>
      </c>
      <c r="I8" s="74"/>
    </row>
    <row r="9" spans="1:9" ht="15.6" x14ac:dyDescent="0.3">
      <c r="A9" s="32" t="s">
        <v>288</v>
      </c>
      <c r="B9" s="84">
        <v>0</v>
      </c>
      <c r="C9" s="84">
        <v>0</v>
      </c>
      <c r="D9" s="84">
        <v>0</v>
      </c>
      <c r="E9" s="493"/>
      <c r="F9" s="493">
        <f t="shared" ref="F9:F12" si="0">B9+C9+D9-E9</f>
        <v>0</v>
      </c>
      <c r="G9" s="34">
        <v>15</v>
      </c>
      <c r="H9" s="84">
        <f t="shared" ref="H9:H17" si="1">ROUND(((B9+C9)*G9%+D9*G9%/2),0)</f>
        <v>0</v>
      </c>
      <c r="I9" s="33">
        <f t="shared" ref="I9:I11" si="2">F9-H9</f>
        <v>0</v>
      </c>
    </row>
    <row r="10" spans="1:9" ht="15.6" x14ac:dyDescent="0.3">
      <c r="A10" s="32" t="s">
        <v>315</v>
      </c>
      <c r="B10" s="84">
        <v>0</v>
      </c>
      <c r="C10" s="84">
        <v>0</v>
      </c>
      <c r="D10" s="84">
        <v>0</v>
      </c>
      <c r="E10" s="493"/>
      <c r="F10" s="493">
        <v>0</v>
      </c>
      <c r="G10" s="34">
        <v>15</v>
      </c>
      <c r="H10" s="84">
        <f t="shared" si="1"/>
        <v>0</v>
      </c>
      <c r="I10" s="33">
        <f t="shared" si="2"/>
        <v>0</v>
      </c>
    </row>
    <row r="11" spans="1:9" ht="15.6" x14ac:dyDescent="0.3">
      <c r="A11" s="32" t="s">
        <v>316</v>
      </c>
      <c r="B11" s="84">
        <v>0</v>
      </c>
      <c r="C11" s="84">
        <v>0</v>
      </c>
      <c r="D11" s="84">
        <v>0</v>
      </c>
      <c r="E11" s="493"/>
      <c r="F11" s="493">
        <f t="shared" si="0"/>
        <v>0</v>
      </c>
      <c r="G11" s="34">
        <v>15</v>
      </c>
      <c r="H11" s="84">
        <f t="shared" si="1"/>
        <v>0</v>
      </c>
      <c r="I11" s="33">
        <f t="shared" si="2"/>
        <v>0</v>
      </c>
    </row>
    <row r="12" spans="1:9" ht="15.6" x14ac:dyDescent="0.3">
      <c r="A12" s="32" t="s">
        <v>317</v>
      </c>
      <c r="B12" s="84">
        <v>0</v>
      </c>
      <c r="C12" s="84">
        <v>0</v>
      </c>
      <c r="D12" s="84">
        <v>0</v>
      </c>
      <c r="E12" s="493"/>
      <c r="F12" s="493">
        <f t="shared" si="0"/>
        <v>0</v>
      </c>
      <c r="G12" s="34">
        <v>15</v>
      </c>
      <c r="H12" s="84">
        <f t="shared" si="1"/>
        <v>0</v>
      </c>
      <c r="I12" s="33">
        <f t="shared" ref="I12" si="3">F12-H12</f>
        <v>0</v>
      </c>
    </row>
    <row r="13" spans="1:9" ht="15.6" x14ac:dyDescent="0.3">
      <c r="A13" s="32" t="s">
        <v>291</v>
      </c>
      <c r="B13" s="84">
        <v>0</v>
      </c>
      <c r="C13" s="84">
        <v>0</v>
      </c>
      <c r="D13" s="84">
        <v>0</v>
      </c>
      <c r="E13" s="493"/>
      <c r="F13" s="493">
        <f t="shared" ref="F13:F14" si="4">B13+C13+D13-E13</f>
        <v>0</v>
      </c>
      <c r="G13" s="34">
        <v>15</v>
      </c>
      <c r="H13" s="84">
        <f t="shared" si="1"/>
        <v>0</v>
      </c>
      <c r="I13" s="33">
        <f t="shared" ref="I13" si="5">F13-H13</f>
        <v>0</v>
      </c>
    </row>
    <row r="14" spans="1:9" ht="15.6" x14ac:dyDescent="0.3">
      <c r="A14" s="32" t="s">
        <v>287</v>
      </c>
      <c r="B14" s="84">
        <v>0</v>
      </c>
      <c r="C14" s="84">
        <v>0</v>
      </c>
      <c r="D14" s="84">
        <v>0</v>
      </c>
      <c r="E14" s="493"/>
      <c r="F14" s="493">
        <f t="shared" si="4"/>
        <v>0</v>
      </c>
      <c r="G14" s="34">
        <v>15</v>
      </c>
      <c r="H14" s="84">
        <f t="shared" si="1"/>
        <v>0</v>
      </c>
      <c r="I14" s="33">
        <f t="shared" ref="I14" si="6">F14-H14</f>
        <v>0</v>
      </c>
    </row>
    <row r="15" spans="1:9" ht="15.6" x14ac:dyDescent="0.3">
      <c r="A15" s="32" t="s">
        <v>293</v>
      </c>
      <c r="B15" s="84">
        <v>0</v>
      </c>
      <c r="C15" s="84">
        <v>0</v>
      </c>
      <c r="D15" s="84">
        <v>0</v>
      </c>
      <c r="E15" s="493"/>
      <c r="F15" s="493">
        <f t="shared" ref="F15" si="7">B15+C15+D15-E15</f>
        <v>0</v>
      </c>
      <c r="G15" s="34">
        <v>15</v>
      </c>
      <c r="H15" s="84">
        <f t="shared" si="1"/>
        <v>0</v>
      </c>
      <c r="I15" s="33">
        <f t="shared" ref="I15" si="8">F15-H15</f>
        <v>0</v>
      </c>
    </row>
    <row r="16" spans="1:9" ht="15.6" x14ac:dyDescent="0.3">
      <c r="A16" s="32" t="s">
        <v>294</v>
      </c>
      <c r="B16" s="84">
        <v>0</v>
      </c>
      <c r="C16" s="84">
        <v>0</v>
      </c>
      <c r="D16" s="84">
        <v>0</v>
      </c>
      <c r="E16" s="493"/>
      <c r="F16" s="493">
        <f t="shared" ref="F16" si="9">B16+C16+D16-E16</f>
        <v>0</v>
      </c>
      <c r="G16" s="34">
        <v>15</v>
      </c>
      <c r="H16" s="84">
        <f t="shared" si="1"/>
        <v>0</v>
      </c>
      <c r="I16" s="33">
        <f t="shared" ref="I16" si="10">F16-H16</f>
        <v>0</v>
      </c>
    </row>
    <row r="17" spans="1:9" ht="15.6" x14ac:dyDescent="0.3">
      <c r="A17" s="32" t="s">
        <v>295</v>
      </c>
      <c r="B17" s="84">
        <v>0</v>
      </c>
      <c r="C17" s="84">
        <v>0</v>
      </c>
      <c r="D17" s="84">
        <v>0</v>
      </c>
      <c r="E17" s="493"/>
      <c r="F17" s="493">
        <f t="shared" ref="F17" si="11">B17+C17+D17-E17</f>
        <v>0</v>
      </c>
      <c r="G17" s="34">
        <v>15</v>
      </c>
      <c r="H17" s="84">
        <f t="shared" si="1"/>
        <v>0</v>
      </c>
      <c r="I17" s="33">
        <f t="shared" ref="I17" si="12">F17-H17</f>
        <v>0</v>
      </c>
    </row>
    <row r="18" spans="1:9" ht="15.6" x14ac:dyDescent="0.3">
      <c r="A18" s="32"/>
      <c r="B18" s="493"/>
      <c r="C18" s="493"/>
      <c r="D18" s="493"/>
      <c r="E18" s="493"/>
      <c r="F18" s="493"/>
      <c r="G18" s="34"/>
      <c r="H18" s="84"/>
      <c r="I18" s="33"/>
    </row>
    <row r="19" spans="1:9" ht="15.6" x14ac:dyDescent="0.3">
      <c r="A19" s="52" t="s">
        <v>108</v>
      </c>
      <c r="B19" s="493"/>
      <c r="C19" s="493"/>
      <c r="D19" s="493"/>
      <c r="E19" s="493"/>
      <c r="F19" s="493"/>
      <c r="G19" s="34"/>
      <c r="H19" s="84">
        <f>(B19+C19)*G19/100+(D19*G19/200)</f>
        <v>0</v>
      </c>
      <c r="I19" s="33"/>
    </row>
    <row r="20" spans="1:9" ht="15.6" x14ac:dyDescent="0.3">
      <c r="A20" s="32" t="s">
        <v>313</v>
      </c>
      <c r="B20" s="493">
        <v>0</v>
      </c>
      <c r="C20" s="84">
        <v>0</v>
      </c>
      <c r="D20" s="84">
        <v>0</v>
      </c>
      <c r="E20" s="84">
        <v>0</v>
      </c>
      <c r="F20" s="493">
        <f>B20+C20+D20-E20</f>
        <v>0</v>
      </c>
      <c r="G20" s="34">
        <v>15</v>
      </c>
      <c r="H20" s="84">
        <f>ROUND(((B20+C20-E20)*G20%+D20*G20%/2),0)</f>
        <v>0</v>
      </c>
      <c r="I20" s="33">
        <f>F20-H20</f>
        <v>0</v>
      </c>
    </row>
    <row r="21" spans="1:9" ht="15.6" x14ac:dyDescent="0.3">
      <c r="A21" s="32" t="s">
        <v>314</v>
      </c>
      <c r="B21" s="493">
        <v>0</v>
      </c>
      <c r="C21" s="84">
        <v>0</v>
      </c>
      <c r="D21" s="84">
        <v>0</v>
      </c>
      <c r="E21" s="84"/>
      <c r="F21" s="493">
        <f>B21+C21+D21-E21</f>
        <v>0</v>
      </c>
      <c r="G21" s="34">
        <v>15</v>
      </c>
      <c r="H21" s="84">
        <f>ROUND(((B21+C21-E21)*G21%+D21*G21%/2),0)</f>
        <v>0</v>
      </c>
      <c r="I21" s="33">
        <f>F21-H21</f>
        <v>0</v>
      </c>
    </row>
    <row r="22" spans="1:9" ht="15.6" x14ac:dyDescent="0.3">
      <c r="A22" s="32"/>
      <c r="B22" s="493"/>
      <c r="C22" s="493"/>
      <c r="D22" s="493"/>
      <c r="E22" s="493"/>
      <c r="F22" s="493"/>
      <c r="G22" s="34"/>
      <c r="H22" s="84"/>
      <c r="I22" s="33"/>
    </row>
    <row r="23" spans="1:9" ht="15.6" x14ac:dyDescent="0.3">
      <c r="A23" s="52" t="s">
        <v>283</v>
      </c>
      <c r="B23" s="493"/>
      <c r="C23" s="493"/>
      <c r="D23" s="493"/>
      <c r="E23" s="493"/>
      <c r="F23" s="493"/>
      <c r="G23" s="34"/>
      <c r="H23" s="84"/>
      <c r="I23" s="33"/>
    </row>
    <row r="24" spans="1:9" ht="15.6" x14ac:dyDescent="0.3">
      <c r="A24" s="32" t="s">
        <v>284</v>
      </c>
      <c r="B24" s="84">
        <v>0</v>
      </c>
      <c r="C24" s="84">
        <v>0</v>
      </c>
      <c r="D24" s="84">
        <v>0</v>
      </c>
      <c r="E24" s="493"/>
      <c r="F24" s="493">
        <f>B24+C24+D24-E24</f>
        <v>0</v>
      </c>
      <c r="G24" s="34">
        <v>40</v>
      </c>
      <c r="H24" s="84">
        <f>ROUND(((B24+C24)*G24%+D24*G24%/2),0)</f>
        <v>0</v>
      </c>
      <c r="I24" s="33">
        <f>F24-H24</f>
        <v>0</v>
      </c>
    </row>
    <row r="25" spans="1:9" ht="15.6" x14ac:dyDescent="0.3">
      <c r="A25" s="32"/>
      <c r="B25" s="493"/>
      <c r="C25" s="493"/>
      <c r="D25" s="493"/>
      <c r="E25" s="493"/>
      <c r="F25" s="493"/>
      <c r="G25" s="34"/>
      <c r="H25" s="84"/>
      <c r="I25" s="33"/>
    </row>
    <row r="26" spans="1:9" ht="15.6" x14ac:dyDescent="0.3">
      <c r="A26" s="52" t="s">
        <v>285</v>
      </c>
      <c r="B26" s="493"/>
      <c r="C26" s="493"/>
      <c r="D26" s="493"/>
      <c r="E26" s="493"/>
      <c r="F26" s="493"/>
      <c r="G26" s="34"/>
      <c r="H26" s="84"/>
      <c r="I26" s="33"/>
    </row>
    <row r="27" spans="1:9" ht="15.6" x14ac:dyDescent="0.3">
      <c r="A27" s="32" t="s">
        <v>286</v>
      </c>
      <c r="B27" s="84">
        <v>0</v>
      </c>
      <c r="C27" s="84">
        <v>0</v>
      </c>
      <c r="D27" s="84">
        <v>0</v>
      </c>
      <c r="E27" s="493"/>
      <c r="F27" s="493">
        <f>B27+C27+D27-E27</f>
        <v>0</v>
      </c>
      <c r="G27" s="34">
        <v>10</v>
      </c>
      <c r="H27" s="84">
        <f>ROUND(((B27+C27)*G27%+D27*G27%/2),0)</f>
        <v>0</v>
      </c>
      <c r="I27" s="33">
        <f>F27-H27</f>
        <v>0</v>
      </c>
    </row>
    <row r="28" spans="1:9" ht="15.6" x14ac:dyDescent="0.3">
      <c r="A28" s="32" t="s">
        <v>292</v>
      </c>
      <c r="B28" s="84">
        <v>0</v>
      </c>
      <c r="C28" s="84">
        <v>0</v>
      </c>
      <c r="D28" s="84">
        <v>0</v>
      </c>
      <c r="E28" s="493"/>
      <c r="F28" s="493">
        <f>B28+C28+D28-E28</f>
        <v>0</v>
      </c>
      <c r="G28" s="34">
        <v>10</v>
      </c>
      <c r="H28" s="84">
        <f>ROUND(((B28+C28)*G28%+D28*G28%/2),0)</f>
        <v>0</v>
      </c>
      <c r="I28" s="33">
        <f>F28-H28</f>
        <v>0</v>
      </c>
    </row>
    <row r="29" spans="1:9" ht="15.6" x14ac:dyDescent="0.3">
      <c r="A29" s="32"/>
      <c r="B29" s="493"/>
      <c r="C29" s="493"/>
      <c r="D29" s="493"/>
      <c r="E29" s="493"/>
      <c r="F29" s="493"/>
      <c r="G29" s="34"/>
      <c r="H29" s="84"/>
      <c r="I29" s="33"/>
    </row>
    <row r="30" spans="1:9" ht="15.6" x14ac:dyDescent="0.3">
      <c r="A30" s="52" t="s">
        <v>290</v>
      </c>
      <c r="B30" s="493"/>
      <c r="C30" s="493"/>
      <c r="D30" s="493"/>
      <c r="E30" s="493"/>
      <c r="F30" s="493"/>
      <c r="G30" s="34"/>
      <c r="H30" s="84"/>
      <c r="I30" s="33"/>
    </row>
    <row r="31" spans="1:9" ht="15.6" x14ac:dyDescent="0.3">
      <c r="A31" s="32" t="s">
        <v>289</v>
      </c>
      <c r="B31" s="493">
        <v>0</v>
      </c>
      <c r="C31" s="84">
        <v>0</v>
      </c>
      <c r="D31" s="84">
        <v>0</v>
      </c>
      <c r="E31" s="493"/>
      <c r="F31" s="493">
        <f>B31+C31+D31-E31</f>
        <v>0</v>
      </c>
      <c r="G31" s="34">
        <v>10</v>
      </c>
      <c r="H31" s="84">
        <f>ROUND(((B31+C31)*G31%+D31*G31%/2),0)</f>
        <v>0</v>
      </c>
      <c r="I31" s="33">
        <f>F31-H31</f>
        <v>0</v>
      </c>
    </row>
    <row r="32" spans="1:9" ht="15.6" x14ac:dyDescent="0.3">
      <c r="A32" s="32"/>
      <c r="B32" s="493"/>
      <c r="C32" s="493"/>
      <c r="D32" s="493"/>
      <c r="E32" s="493"/>
      <c r="F32" s="493"/>
      <c r="G32" s="34"/>
      <c r="H32" s="84"/>
      <c r="I32" s="33"/>
    </row>
    <row r="33" spans="1:10" ht="15.6" x14ac:dyDescent="0.3">
      <c r="A33" s="32"/>
      <c r="B33" s="493"/>
      <c r="C33" s="493"/>
      <c r="D33" s="493"/>
      <c r="E33" s="493"/>
      <c r="F33" s="493"/>
      <c r="G33" s="34"/>
      <c r="H33" s="84"/>
      <c r="I33" s="33"/>
    </row>
    <row r="34" spans="1:10" ht="15.6" x14ac:dyDescent="0.3">
      <c r="A34" s="32"/>
      <c r="B34" s="493"/>
      <c r="C34" s="493"/>
      <c r="D34" s="493"/>
      <c r="E34" s="493"/>
      <c r="F34" s="493"/>
      <c r="G34" s="34"/>
      <c r="H34" s="84"/>
      <c r="I34" s="33"/>
    </row>
    <row r="35" spans="1:10" ht="15.6" x14ac:dyDescent="0.3">
      <c r="A35" s="32"/>
      <c r="B35" s="493"/>
      <c r="C35" s="493"/>
      <c r="D35" s="493"/>
      <c r="E35" s="493"/>
      <c r="F35" s="493"/>
      <c r="G35" s="34"/>
      <c r="H35" s="84"/>
      <c r="I35" s="33"/>
    </row>
    <row r="36" spans="1:10" ht="16.2" thickBot="1" x14ac:dyDescent="0.35">
      <c r="A36" s="10"/>
      <c r="B36" s="494"/>
      <c r="C36" s="494"/>
      <c r="D36" s="494"/>
      <c r="E36" s="494"/>
      <c r="F36" s="494"/>
      <c r="G36" s="58"/>
      <c r="H36" s="84">
        <f>(B36+C36)*G36/100+(D36*G36/200)</f>
        <v>0</v>
      </c>
      <c r="I36" s="11"/>
    </row>
    <row r="37" spans="1:10" ht="16.2" thickBot="1" x14ac:dyDescent="0.35">
      <c r="A37" s="93" t="s">
        <v>9</v>
      </c>
      <c r="B37" s="495">
        <f>SUM(B7:B36)</f>
        <v>0</v>
      </c>
      <c r="C37" s="495">
        <f t="shared" ref="C37:F37" si="13">SUM(C7:C36)</f>
        <v>0</v>
      </c>
      <c r="D37" s="495">
        <f t="shared" si="13"/>
        <v>0</v>
      </c>
      <c r="E37" s="495">
        <f t="shared" si="13"/>
        <v>0</v>
      </c>
      <c r="F37" s="495">
        <f t="shared" si="13"/>
        <v>0</v>
      </c>
      <c r="G37" s="59"/>
      <c r="H37" s="59">
        <f t="shared" ref="H37:I37" si="14">SUM(H7:H36)</f>
        <v>0</v>
      </c>
      <c r="I37" s="59">
        <f t="shared" si="14"/>
        <v>0</v>
      </c>
      <c r="J37" s="76">
        <f>H37-'p&amp;l'!F13</f>
        <v>0</v>
      </c>
    </row>
    <row r="38" spans="1:10" x14ac:dyDescent="0.3">
      <c r="A38" s="172"/>
      <c r="B38" s="173"/>
      <c r="C38" s="172"/>
      <c r="D38" s="172"/>
      <c r="E38" s="172"/>
      <c r="F38" s="173"/>
      <c r="G38" s="172"/>
      <c r="H38" s="172"/>
      <c r="I38" s="173"/>
    </row>
    <row r="39" spans="1:10" x14ac:dyDescent="0.3">
      <c r="I39" s="75">
        <f>I37-bs!F26</f>
        <v>0</v>
      </c>
    </row>
  </sheetData>
  <sortState xmlns:xlrd2="http://schemas.microsoft.com/office/spreadsheetml/2017/richdata2" ref="A14:I23">
    <sortCondition ref="A14"/>
  </sortState>
  <mergeCells count="2">
    <mergeCell ref="A1:I1"/>
    <mergeCell ref="A2:I2"/>
  </mergeCells>
  <pageMargins left="1.0900000000000001" right="0.7" top="0.75" bottom="0.75" header="0.3" footer="0.3"/>
  <pageSetup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141"/>
  <sheetViews>
    <sheetView view="pageBreakPreview" zoomScaleNormal="100" zoomScaleSheetLayoutView="100" workbookViewId="0">
      <selection activeCell="F106" sqref="F1:F1048576"/>
    </sheetView>
  </sheetViews>
  <sheetFormatPr defaultRowHeight="14.4" x14ac:dyDescent="0.3"/>
  <cols>
    <col min="1" max="1" width="5.33203125" customWidth="1"/>
    <col min="2" max="2" width="76.6640625" customWidth="1"/>
    <col min="4" max="4" width="19.6640625" customWidth="1"/>
    <col min="5" max="5" width="20.33203125" customWidth="1"/>
  </cols>
  <sheetData>
    <row r="1" spans="1:5" ht="16.2" x14ac:dyDescent="0.3">
      <c r="A1" s="645" t="str">
        <f>bs!A1</f>
        <v xml:space="preserve"> M/S XYZ CO.</v>
      </c>
      <c r="B1" s="645"/>
      <c r="C1" s="645"/>
      <c r="D1" s="645"/>
      <c r="E1" s="645"/>
    </row>
    <row r="2" spans="1:5" ht="16.2" x14ac:dyDescent="0.3">
      <c r="A2" s="627" t="s">
        <v>266</v>
      </c>
      <c r="B2" s="627"/>
      <c r="C2" s="627"/>
      <c r="D2" s="627"/>
      <c r="E2" s="627"/>
    </row>
    <row r="3" spans="1:5" ht="16.2" x14ac:dyDescent="0.3">
      <c r="A3" s="469"/>
      <c r="B3" s="469"/>
      <c r="C3" s="172"/>
      <c r="D3" s="172"/>
      <c r="E3" s="172"/>
    </row>
    <row r="4" spans="1:5" ht="21" x14ac:dyDescent="0.4">
      <c r="A4" s="133" t="s">
        <v>72</v>
      </c>
      <c r="B4" s="133"/>
      <c r="C4" s="470"/>
      <c r="D4" s="470"/>
      <c r="E4" s="470"/>
    </row>
    <row r="5" spans="1:5" ht="21" customHeight="1" x14ac:dyDescent="0.3">
      <c r="A5" s="648" t="s">
        <v>53</v>
      </c>
      <c r="B5" s="649"/>
      <c r="C5" s="208"/>
      <c r="D5" s="209" t="str">
        <f>'notes to bs'!D4</f>
        <v>As at 31.03.2025</v>
      </c>
      <c r="E5" s="209" t="str">
        <f>'notes to bs'!E4</f>
        <v>As at 31.03.2024</v>
      </c>
    </row>
    <row r="6" spans="1:5" x14ac:dyDescent="0.3">
      <c r="A6" s="194"/>
      <c r="B6" s="471" t="s">
        <v>162</v>
      </c>
      <c r="C6" s="472"/>
      <c r="D6" s="473"/>
      <c r="E6" s="474"/>
    </row>
    <row r="7" spans="1:5" x14ac:dyDescent="0.3">
      <c r="A7" s="194"/>
      <c r="B7" s="172"/>
      <c r="C7" s="475"/>
      <c r="D7" s="585"/>
      <c r="E7" s="586"/>
    </row>
    <row r="8" spans="1:5" x14ac:dyDescent="0.3">
      <c r="A8" s="194"/>
      <c r="B8" s="172"/>
      <c r="C8" s="475"/>
      <c r="D8" s="587"/>
      <c r="E8" s="586"/>
    </row>
    <row r="9" spans="1:5" x14ac:dyDescent="0.3">
      <c r="A9" s="194"/>
      <c r="B9" s="172"/>
      <c r="C9" s="475"/>
      <c r="D9" s="587"/>
      <c r="E9" s="586"/>
    </row>
    <row r="10" spans="1:5" x14ac:dyDescent="0.3">
      <c r="A10" s="194"/>
      <c r="B10" s="172"/>
      <c r="C10" s="475"/>
      <c r="D10" s="585"/>
      <c r="E10" s="586"/>
    </row>
    <row r="11" spans="1:5" x14ac:dyDescent="0.3">
      <c r="A11" s="194"/>
      <c r="B11" s="172"/>
      <c r="C11" s="475"/>
      <c r="D11" s="585"/>
      <c r="E11" s="586"/>
    </row>
    <row r="12" spans="1:5" x14ac:dyDescent="0.3">
      <c r="A12" s="194"/>
      <c r="B12" s="172"/>
      <c r="C12" s="475"/>
      <c r="D12" s="585"/>
      <c r="E12" s="586"/>
    </row>
    <row r="13" spans="1:5" x14ac:dyDescent="0.3">
      <c r="A13" s="194"/>
      <c r="B13" s="471" t="s">
        <v>9</v>
      </c>
      <c r="C13" s="475"/>
      <c r="D13" s="588">
        <f>SUM(D7:D12)</f>
        <v>0</v>
      </c>
      <c r="E13" s="589">
        <f>SUM(E7:E12)</f>
        <v>0</v>
      </c>
    </row>
    <row r="14" spans="1:5" ht="15.6" x14ac:dyDescent="0.3">
      <c r="A14" s="194"/>
      <c r="C14" s="476"/>
      <c r="D14" s="591"/>
      <c r="E14" s="592"/>
    </row>
    <row r="15" spans="1:5" x14ac:dyDescent="0.3">
      <c r="A15" s="194"/>
      <c r="B15" s="471" t="s">
        <v>163</v>
      </c>
      <c r="C15" s="475"/>
      <c r="D15" s="593">
        <v>0</v>
      </c>
      <c r="E15" s="586">
        <v>0</v>
      </c>
    </row>
    <row r="16" spans="1:5" x14ac:dyDescent="0.3">
      <c r="A16" s="194"/>
      <c r="B16" s="172"/>
      <c r="C16" s="475"/>
      <c r="D16" s="590"/>
      <c r="E16" s="594"/>
    </row>
    <row r="17" spans="1:5" x14ac:dyDescent="0.3">
      <c r="A17" s="194"/>
      <c r="B17" s="471" t="s">
        <v>9</v>
      </c>
      <c r="C17" s="195"/>
      <c r="D17" s="589">
        <f>SUM(D15:D15)</f>
        <v>0</v>
      </c>
      <c r="E17" s="589">
        <f>SUM(E15:E15)</f>
        <v>0</v>
      </c>
    </row>
    <row r="18" spans="1:5" x14ac:dyDescent="0.3">
      <c r="A18" s="202"/>
      <c r="B18" s="172"/>
      <c r="C18" s="172"/>
      <c r="D18" s="595"/>
      <c r="E18" s="596"/>
    </row>
    <row r="19" spans="1:5" ht="15.6" x14ac:dyDescent="0.3">
      <c r="A19" s="203" t="s">
        <v>41</v>
      </c>
      <c r="B19" s="204"/>
      <c r="C19" s="205"/>
      <c r="D19" s="597">
        <f>D13+D17</f>
        <v>0</v>
      </c>
      <c r="E19" s="597">
        <f>E13+E17</f>
        <v>0</v>
      </c>
    </row>
    <row r="20" spans="1:5" x14ac:dyDescent="0.3">
      <c r="A20" s="134"/>
      <c r="B20" s="134"/>
      <c r="C20" s="134"/>
      <c r="D20" s="134"/>
      <c r="E20" s="134"/>
    </row>
    <row r="21" spans="1:5" ht="15.6" x14ac:dyDescent="0.3">
      <c r="A21" s="646" t="s">
        <v>78</v>
      </c>
      <c r="B21" s="646"/>
      <c r="C21" s="646"/>
      <c r="D21" s="646"/>
      <c r="E21" s="646"/>
    </row>
    <row r="22" spans="1:5" ht="15.6" x14ac:dyDescent="0.3">
      <c r="A22" s="207" t="s">
        <v>53</v>
      </c>
      <c r="B22" s="208"/>
      <c r="C22" s="208"/>
      <c r="D22" s="209" t="str">
        <f>D5</f>
        <v>As at 31.03.2025</v>
      </c>
      <c r="E22" s="209" t="str">
        <f>E5</f>
        <v>As at 31.03.2024</v>
      </c>
    </row>
    <row r="23" spans="1:5" ht="15.6" x14ac:dyDescent="0.3">
      <c r="A23" s="194" t="s">
        <v>265</v>
      </c>
      <c r="B23" s="497"/>
      <c r="C23" s="9"/>
      <c r="D23" s="477"/>
      <c r="E23" s="586"/>
    </row>
    <row r="24" spans="1:5" ht="15.6" x14ac:dyDescent="0.3">
      <c r="A24" s="194" t="s">
        <v>265</v>
      </c>
      <c r="B24" s="497"/>
      <c r="C24" s="9"/>
      <c r="D24" s="477"/>
      <c r="E24" s="586"/>
    </row>
    <row r="25" spans="1:5" ht="15.6" x14ac:dyDescent="0.3">
      <c r="A25" s="194" t="s">
        <v>265</v>
      </c>
      <c r="B25" s="497"/>
      <c r="C25" s="9"/>
      <c r="D25" s="477"/>
      <c r="E25" s="586"/>
    </row>
    <row r="26" spans="1:5" ht="15.6" x14ac:dyDescent="0.3">
      <c r="A26" s="194" t="s">
        <v>265</v>
      </c>
      <c r="B26" s="497"/>
      <c r="C26" s="9"/>
      <c r="D26" s="477"/>
      <c r="E26" s="586"/>
    </row>
    <row r="27" spans="1:5" ht="15.6" x14ac:dyDescent="0.3">
      <c r="A27" s="194" t="s">
        <v>265</v>
      </c>
      <c r="B27" s="497"/>
      <c r="C27" s="9"/>
      <c r="D27" s="477"/>
      <c r="E27" s="586"/>
    </row>
    <row r="28" spans="1:5" ht="15.6" x14ac:dyDescent="0.3">
      <c r="A28" s="194" t="s">
        <v>265</v>
      </c>
      <c r="B28" s="497"/>
      <c r="C28" s="9"/>
      <c r="D28" s="477"/>
      <c r="E28" s="586"/>
    </row>
    <row r="29" spans="1:5" ht="15.6" x14ac:dyDescent="0.3">
      <c r="A29" s="194" t="s">
        <v>265</v>
      </c>
      <c r="B29" s="497"/>
      <c r="C29" s="9"/>
      <c r="D29" s="477"/>
      <c r="E29" s="586"/>
    </row>
    <row r="30" spans="1:5" ht="15.6" x14ac:dyDescent="0.3">
      <c r="A30" s="194" t="s">
        <v>265</v>
      </c>
      <c r="B30" s="497"/>
      <c r="C30" s="9"/>
      <c r="D30" s="477"/>
      <c r="E30" s="586"/>
    </row>
    <row r="31" spans="1:5" ht="15.6" x14ac:dyDescent="0.3">
      <c r="A31" s="194" t="s">
        <v>265</v>
      </c>
      <c r="B31" s="497"/>
      <c r="C31" s="9"/>
      <c r="D31" s="477"/>
      <c r="E31" s="586"/>
    </row>
    <row r="32" spans="1:5" ht="15.6" x14ac:dyDescent="0.3">
      <c r="A32" s="194" t="s">
        <v>265</v>
      </c>
      <c r="B32" s="497"/>
      <c r="C32" s="9"/>
      <c r="D32" s="477"/>
      <c r="E32" s="586"/>
    </row>
    <row r="33" spans="1:5" ht="15.6" x14ac:dyDescent="0.3">
      <c r="A33" s="194" t="s">
        <v>265</v>
      </c>
      <c r="B33" s="497"/>
      <c r="C33" s="9"/>
      <c r="D33" s="477"/>
      <c r="E33" s="586"/>
    </row>
    <row r="34" spans="1:5" ht="15.6" x14ac:dyDescent="0.3">
      <c r="A34" s="194" t="s">
        <v>265</v>
      </c>
      <c r="B34" s="497"/>
      <c r="C34" s="9"/>
      <c r="D34" s="477"/>
      <c r="E34" s="586"/>
    </row>
    <row r="35" spans="1:5" ht="15.6" x14ac:dyDescent="0.3">
      <c r="A35" s="194" t="s">
        <v>265</v>
      </c>
      <c r="B35" s="497"/>
      <c r="C35" s="9"/>
      <c r="D35" s="477"/>
      <c r="E35" s="586"/>
    </row>
    <row r="36" spans="1:5" ht="15.6" x14ac:dyDescent="0.3">
      <c r="A36" s="194" t="s">
        <v>265</v>
      </c>
      <c r="B36" s="497"/>
      <c r="C36" s="9"/>
      <c r="D36" s="477"/>
      <c r="E36" s="586"/>
    </row>
    <row r="37" spans="1:5" ht="15.6" x14ac:dyDescent="0.3">
      <c r="A37" s="194" t="s">
        <v>265</v>
      </c>
      <c r="B37" s="497"/>
      <c r="C37" s="9"/>
      <c r="D37" s="477"/>
      <c r="E37" s="586"/>
    </row>
    <row r="38" spans="1:5" ht="15.6" x14ac:dyDescent="0.3">
      <c r="A38" s="194" t="s">
        <v>265</v>
      </c>
      <c r="B38" s="497"/>
      <c r="C38" s="9"/>
      <c r="D38" s="477"/>
      <c r="E38" s="586"/>
    </row>
    <row r="39" spans="1:5" ht="15.6" x14ac:dyDescent="0.3">
      <c r="A39" s="194" t="s">
        <v>265</v>
      </c>
      <c r="B39" s="497"/>
      <c r="C39" s="9"/>
      <c r="D39" s="477"/>
      <c r="E39" s="586"/>
    </row>
    <row r="40" spans="1:5" ht="15.6" x14ac:dyDescent="0.3">
      <c r="A40" s="194" t="s">
        <v>265</v>
      </c>
      <c r="B40" s="497"/>
      <c r="C40" s="9"/>
      <c r="D40" s="477"/>
      <c r="E40" s="586"/>
    </row>
    <row r="41" spans="1:5" ht="15.6" x14ac:dyDescent="0.3">
      <c r="A41" s="194" t="s">
        <v>265</v>
      </c>
      <c r="B41" s="497"/>
      <c r="C41" s="9"/>
      <c r="D41" s="477"/>
      <c r="E41" s="586"/>
    </row>
    <row r="42" spans="1:5" ht="15.6" x14ac:dyDescent="0.3">
      <c r="A42" s="194" t="s">
        <v>265</v>
      </c>
      <c r="B42" s="497"/>
      <c r="C42" s="9"/>
      <c r="D42" s="477"/>
      <c r="E42" s="586"/>
    </row>
    <row r="43" spans="1:5" ht="15.6" x14ac:dyDescent="0.3">
      <c r="A43" s="194" t="s">
        <v>265</v>
      </c>
      <c r="B43" s="497"/>
      <c r="C43" s="9"/>
      <c r="D43" s="477"/>
      <c r="E43" s="586"/>
    </row>
    <row r="44" spans="1:5" ht="15.6" x14ac:dyDescent="0.3">
      <c r="A44" s="194" t="s">
        <v>265</v>
      </c>
      <c r="B44" s="497"/>
      <c r="C44" s="9"/>
      <c r="D44" s="477"/>
      <c r="E44" s="586"/>
    </row>
    <row r="45" spans="1:5" ht="15.6" x14ac:dyDescent="0.3">
      <c r="A45" s="194" t="s">
        <v>265</v>
      </c>
      <c r="B45" s="497"/>
      <c r="C45" s="9"/>
      <c r="D45" s="477"/>
      <c r="E45" s="586"/>
    </row>
    <row r="46" spans="1:5" ht="15.6" x14ac:dyDescent="0.3">
      <c r="A46" s="194" t="s">
        <v>265</v>
      </c>
      <c r="B46" s="497"/>
      <c r="C46" s="9"/>
      <c r="D46" s="477"/>
      <c r="E46" s="586"/>
    </row>
    <row r="47" spans="1:5" ht="15.6" x14ac:dyDescent="0.3">
      <c r="A47" s="194" t="s">
        <v>265</v>
      </c>
      <c r="B47" s="497"/>
      <c r="C47" s="9"/>
      <c r="D47" s="477"/>
      <c r="E47" s="586"/>
    </row>
    <row r="48" spans="1:5" ht="15.6" x14ac:dyDescent="0.3">
      <c r="A48" s="194" t="s">
        <v>265</v>
      </c>
      <c r="B48" s="497"/>
      <c r="C48" s="9"/>
      <c r="D48" s="477"/>
      <c r="E48" s="586"/>
    </row>
    <row r="49" spans="1:5" ht="15.6" x14ac:dyDescent="0.3">
      <c r="A49" s="194" t="s">
        <v>265</v>
      </c>
      <c r="B49" s="497"/>
      <c r="C49" s="9"/>
      <c r="D49" s="477"/>
      <c r="E49" s="586"/>
    </row>
    <row r="50" spans="1:5" ht="15.6" x14ac:dyDescent="0.3">
      <c r="A50" s="194" t="s">
        <v>265</v>
      </c>
      <c r="B50" s="497"/>
      <c r="C50" s="9"/>
      <c r="D50" s="477"/>
      <c r="E50" s="586"/>
    </row>
    <row r="51" spans="1:5" ht="15.6" x14ac:dyDescent="0.3">
      <c r="A51" s="194" t="s">
        <v>265</v>
      </c>
      <c r="B51" s="497"/>
      <c r="C51" s="9"/>
      <c r="D51" s="477"/>
      <c r="E51" s="586"/>
    </row>
    <row r="52" spans="1:5" ht="15.6" x14ac:dyDescent="0.3">
      <c r="A52" s="194" t="s">
        <v>265</v>
      </c>
      <c r="B52" s="497"/>
      <c r="C52" s="9"/>
      <c r="D52" s="477"/>
      <c r="E52" s="586"/>
    </row>
    <row r="53" spans="1:5" ht="15.6" x14ac:dyDescent="0.3">
      <c r="A53" s="194" t="s">
        <v>265</v>
      </c>
      <c r="B53" s="497"/>
      <c r="C53" s="9"/>
      <c r="D53" s="477"/>
      <c r="E53" s="586"/>
    </row>
    <row r="54" spans="1:5" ht="15.6" x14ac:dyDescent="0.3">
      <c r="A54" s="194" t="s">
        <v>265</v>
      </c>
      <c r="B54" s="497"/>
      <c r="C54" s="9"/>
      <c r="D54" s="477"/>
      <c r="E54" s="586"/>
    </row>
    <row r="55" spans="1:5" ht="15.6" x14ac:dyDescent="0.3">
      <c r="A55" s="194" t="s">
        <v>265</v>
      </c>
      <c r="B55" s="9"/>
      <c r="C55" s="9"/>
      <c r="D55" s="477"/>
      <c r="E55" s="598"/>
    </row>
    <row r="56" spans="1:5" ht="20.399999999999999" x14ac:dyDescent="0.35">
      <c r="A56" s="194"/>
      <c r="B56" s="490" t="s">
        <v>274</v>
      </c>
      <c r="C56" s="8"/>
      <c r="D56" s="196"/>
      <c r="E56" s="586"/>
    </row>
    <row r="57" spans="1:5" ht="20.399999999999999" x14ac:dyDescent="0.35">
      <c r="A57" s="194" t="s">
        <v>265</v>
      </c>
      <c r="B57" s="195"/>
      <c r="C57" s="8"/>
      <c r="D57" s="196"/>
      <c r="E57" s="586"/>
    </row>
    <row r="58" spans="1:5" ht="20.399999999999999" x14ac:dyDescent="0.35">
      <c r="A58" s="194" t="s">
        <v>265</v>
      </c>
      <c r="B58" s="195"/>
      <c r="C58" s="8"/>
      <c r="D58" s="196"/>
      <c r="E58" s="655"/>
    </row>
    <row r="59" spans="1:5" ht="20.399999999999999" x14ac:dyDescent="0.35">
      <c r="A59" s="194" t="s">
        <v>265</v>
      </c>
      <c r="B59" s="195"/>
      <c r="C59" s="8"/>
      <c r="D59" s="196"/>
      <c r="E59" s="586"/>
    </row>
    <row r="60" spans="1:5" ht="20.399999999999999" x14ac:dyDescent="0.35">
      <c r="A60" s="194" t="s">
        <v>265</v>
      </c>
      <c r="B60" s="195"/>
      <c r="C60" s="8"/>
      <c r="D60" s="196"/>
      <c r="E60" s="586"/>
    </row>
    <row r="61" spans="1:5" ht="20.399999999999999" x14ac:dyDescent="0.35">
      <c r="A61" s="194" t="s">
        <v>265</v>
      </c>
      <c r="B61" s="195"/>
      <c r="C61" s="8"/>
      <c r="D61" s="196"/>
      <c r="E61" s="586"/>
    </row>
    <row r="62" spans="1:5" ht="20.399999999999999" x14ac:dyDescent="0.35">
      <c r="A62" s="194"/>
      <c r="B62" s="195"/>
      <c r="C62" s="8"/>
      <c r="D62" s="586">
        <f>SUM(D23:D61)</f>
        <v>0</v>
      </c>
      <c r="E62" s="586">
        <f>SUM(E23:E61)</f>
        <v>0</v>
      </c>
    </row>
    <row r="63" spans="1:5" ht="20.399999999999999" x14ac:dyDescent="0.35">
      <c r="A63" s="198" t="s">
        <v>201</v>
      </c>
      <c r="B63" s="199"/>
      <c r="C63" s="200"/>
      <c r="D63" s="8"/>
      <c r="E63" s="586"/>
    </row>
    <row r="64" spans="1:5" ht="20.399999999999999" x14ac:dyDescent="0.35">
      <c r="A64" s="194"/>
      <c r="B64" s="195"/>
      <c r="C64" s="8"/>
      <c r="D64" s="196"/>
      <c r="E64" s="599"/>
    </row>
    <row r="65" spans="1:5" ht="20.399999999999999" x14ac:dyDescent="0.35">
      <c r="A65" s="194"/>
      <c r="B65" s="195"/>
      <c r="C65" s="8"/>
      <c r="D65" s="197"/>
      <c r="E65" s="586"/>
    </row>
    <row r="66" spans="1:5" ht="20.399999999999999" x14ac:dyDescent="0.35">
      <c r="A66" s="194"/>
      <c r="B66" s="195"/>
      <c r="C66" s="8"/>
      <c r="D66" s="196"/>
      <c r="E66" s="586"/>
    </row>
    <row r="67" spans="1:5" ht="20.399999999999999" x14ac:dyDescent="0.35">
      <c r="A67" s="194"/>
      <c r="B67" s="195"/>
      <c r="C67" s="8"/>
      <c r="D67" s="196"/>
      <c r="E67" s="586"/>
    </row>
    <row r="68" spans="1:5" ht="20.399999999999999" x14ac:dyDescent="0.35">
      <c r="A68" s="194"/>
      <c r="B68" s="195"/>
      <c r="C68" s="8"/>
      <c r="D68" s="197">
        <f>SUM(D64:D64)</f>
        <v>0</v>
      </c>
      <c r="E68" s="586">
        <f>SUM(E64:E64)</f>
        <v>0</v>
      </c>
    </row>
    <row r="69" spans="1:5" ht="15.6" x14ac:dyDescent="0.3">
      <c r="A69" s="203" t="s">
        <v>41</v>
      </c>
      <c r="B69" s="204"/>
      <c r="C69" s="205"/>
      <c r="D69" s="206">
        <f>D62+D68</f>
        <v>0</v>
      </c>
      <c r="E69" s="600">
        <f>E62+E68</f>
        <v>0</v>
      </c>
    </row>
    <row r="70" spans="1:5" x14ac:dyDescent="0.3">
      <c r="A70" s="137"/>
      <c r="B70" s="134"/>
      <c r="C70" s="134"/>
      <c r="D70" s="134"/>
      <c r="E70" s="134"/>
    </row>
    <row r="71" spans="1:5" ht="20.25" customHeight="1" x14ac:dyDescent="0.3">
      <c r="A71" s="134"/>
      <c r="B71" s="134"/>
      <c r="C71" s="134"/>
      <c r="D71" s="134"/>
      <c r="E71" s="134"/>
    </row>
    <row r="72" spans="1:5" ht="15.6" x14ac:dyDescent="0.3">
      <c r="A72" s="646" t="s">
        <v>205</v>
      </c>
      <c r="B72" s="646"/>
      <c r="C72" s="646"/>
      <c r="D72" s="646"/>
      <c r="E72" s="647"/>
    </row>
    <row r="73" spans="1:5" ht="15.6" x14ac:dyDescent="0.3">
      <c r="A73" s="207" t="s">
        <v>53</v>
      </c>
      <c r="B73" s="208"/>
      <c r="C73" s="135"/>
      <c r="D73" s="209" t="str">
        <f>D22</f>
        <v>As at 31.03.2025</v>
      </c>
      <c r="E73" s="209" t="str">
        <f>E22</f>
        <v>As at 31.03.2024</v>
      </c>
    </row>
    <row r="74" spans="1:5" ht="20.25" customHeight="1" x14ac:dyDescent="0.3">
      <c r="A74" s="194" t="s">
        <v>265</v>
      </c>
      <c r="B74" s="195"/>
      <c r="C74" s="498"/>
      <c r="D74" s="601"/>
      <c r="E74" s="598"/>
    </row>
    <row r="75" spans="1:5" ht="20.25" customHeight="1" x14ac:dyDescent="0.3">
      <c r="A75" s="194" t="s">
        <v>265</v>
      </c>
      <c r="B75" s="195"/>
      <c r="C75" s="498"/>
      <c r="D75" s="601"/>
      <c r="E75" s="598"/>
    </row>
    <row r="76" spans="1:5" ht="20.25" customHeight="1" x14ac:dyDescent="0.3">
      <c r="A76" s="194" t="s">
        <v>265</v>
      </c>
      <c r="B76" s="195"/>
      <c r="C76" s="498"/>
      <c r="D76" s="601"/>
      <c r="E76" s="598"/>
    </row>
    <row r="77" spans="1:5" ht="20.399999999999999" x14ac:dyDescent="0.35">
      <c r="A77" s="194" t="s">
        <v>265</v>
      </c>
      <c r="B77" s="195"/>
      <c r="C77" s="138"/>
      <c r="D77" s="601"/>
      <c r="E77" s="601"/>
    </row>
    <row r="78" spans="1:5" ht="20.399999999999999" x14ac:dyDescent="0.35">
      <c r="A78" s="194" t="s">
        <v>265</v>
      </c>
      <c r="B78" s="195"/>
      <c r="C78" s="138"/>
      <c r="D78" s="601"/>
      <c r="E78" s="601"/>
    </row>
    <row r="79" spans="1:5" ht="20.399999999999999" x14ac:dyDescent="0.35">
      <c r="A79" s="194" t="s">
        <v>265</v>
      </c>
      <c r="B79" s="195"/>
      <c r="C79" s="138"/>
      <c r="D79" s="601"/>
      <c r="E79" s="601"/>
    </row>
    <row r="80" spans="1:5" ht="20.399999999999999" x14ac:dyDescent="0.35">
      <c r="A80" s="194" t="s">
        <v>265</v>
      </c>
      <c r="B80" s="195"/>
      <c r="C80" s="138"/>
      <c r="D80" s="601"/>
      <c r="E80" s="601"/>
    </row>
    <row r="81" spans="1:5" ht="20.399999999999999" x14ac:dyDescent="0.35">
      <c r="A81" s="194" t="s">
        <v>265</v>
      </c>
      <c r="B81" s="195"/>
      <c r="C81" s="138"/>
      <c r="D81" s="601"/>
      <c r="E81" s="601"/>
    </row>
    <row r="82" spans="1:5" ht="20.399999999999999" x14ac:dyDescent="0.35">
      <c r="A82" s="194" t="s">
        <v>265</v>
      </c>
      <c r="B82" s="195"/>
      <c r="C82" s="138"/>
      <c r="D82" s="601"/>
      <c r="E82" s="601"/>
    </row>
    <row r="83" spans="1:5" ht="20.399999999999999" x14ac:dyDescent="0.35">
      <c r="A83" s="194" t="s">
        <v>265</v>
      </c>
      <c r="B83" s="195"/>
      <c r="C83" s="138"/>
      <c r="D83" s="601"/>
      <c r="E83" s="601"/>
    </row>
    <row r="84" spans="1:5" ht="20.399999999999999" x14ac:dyDescent="0.35">
      <c r="A84" s="194" t="s">
        <v>265</v>
      </c>
      <c r="B84" s="195"/>
      <c r="C84" s="138"/>
      <c r="D84" s="601"/>
      <c r="E84" s="601"/>
    </row>
    <row r="85" spans="1:5" ht="20.399999999999999" x14ac:dyDescent="0.35">
      <c r="A85" s="194" t="s">
        <v>265</v>
      </c>
      <c r="B85" s="195"/>
      <c r="C85" s="138"/>
      <c r="D85" s="601"/>
      <c r="E85" s="601"/>
    </row>
    <row r="86" spans="1:5" ht="20.399999999999999" x14ac:dyDescent="0.35">
      <c r="A86" s="194" t="s">
        <v>265</v>
      </c>
      <c r="B86" s="195"/>
      <c r="C86" s="138"/>
      <c r="D86" s="601"/>
      <c r="E86" s="601"/>
    </row>
    <row r="87" spans="1:5" ht="20.399999999999999" x14ac:dyDescent="0.35">
      <c r="A87" s="194" t="s">
        <v>265</v>
      </c>
      <c r="B87" s="195"/>
      <c r="C87" s="138"/>
      <c r="D87" s="601"/>
      <c r="E87" s="601"/>
    </row>
    <row r="88" spans="1:5" ht="20.399999999999999" x14ac:dyDescent="0.35">
      <c r="A88" s="194" t="s">
        <v>265</v>
      </c>
      <c r="B88" s="195"/>
      <c r="C88" s="138"/>
      <c r="D88" s="601"/>
      <c r="E88" s="601"/>
    </row>
    <row r="89" spans="1:5" ht="20.399999999999999" x14ac:dyDescent="0.35">
      <c r="A89" s="194" t="s">
        <v>265</v>
      </c>
      <c r="B89" s="195"/>
      <c r="C89" s="138"/>
      <c r="D89" s="601"/>
      <c r="E89" s="601"/>
    </row>
    <row r="90" spans="1:5" ht="20.399999999999999" x14ac:dyDescent="0.35">
      <c r="A90" s="194" t="s">
        <v>265</v>
      </c>
      <c r="B90" s="195"/>
      <c r="C90" s="138"/>
      <c r="D90" s="601"/>
      <c r="E90" s="601"/>
    </row>
    <row r="91" spans="1:5" ht="20.399999999999999" x14ac:dyDescent="0.35">
      <c r="A91" s="194" t="s">
        <v>265</v>
      </c>
      <c r="B91" s="195"/>
      <c r="C91" s="138"/>
      <c r="D91" s="601"/>
      <c r="E91" s="601"/>
    </row>
    <row r="92" spans="1:5" ht="20.399999999999999" x14ac:dyDescent="0.35">
      <c r="A92" s="194" t="s">
        <v>265</v>
      </c>
      <c r="B92" s="195"/>
      <c r="C92" s="138"/>
      <c r="D92" s="601"/>
      <c r="E92" s="601"/>
    </row>
    <row r="93" spans="1:5" ht="20.399999999999999" x14ac:dyDescent="0.35">
      <c r="A93" s="194" t="s">
        <v>265</v>
      </c>
      <c r="B93" s="195"/>
      <c r="C93" s="138"/>
      <c r="D93" s="601"/>
      <c r="E93" s="601"/>
    </row>
    <row r="94" spans="1:5" ht="20.399999999999999" x14ac:dyDescent="0.35">
      <c r="A94" s="194" t="s">
        <v>265</v>
      </c>
      <c r="B94" s="195"/>
      <c r="C94" s="138"/>
      <c r="D94" s="601"/>
      <c r="E94" s="601"/>
    </row>
    <row r="95" spans="1:5" ht="20.399999999999999" x14ac:dyDescent="0.35">
      <c r="A95" s="194" t="s">
        <v>265</v>
      </c>
      <c r="B95" s="195"/>
      <c r="C95" s="138"/>
      <c r="D95" s="601"/>
      <c r="E95" s="601"/>
    </row>
    <row r="96" spans="1:5" ht="20.399999999999999" x14ac:dyDescent="0.35">
      <c r="A96" s="194" t="s">
        <v>265</v>
      </c>
      <c r="B96" s="195"/>
      <c r="C96" s="138"/>
      <c r="D96" s="601"/>
      <c r="E96" s="601"/>
    </row>
    <row r="97" spans="1:5" ht="20.399999999999999" x14ac:dyDescent="0.35">
      <c r="A97" s="194" t="s">
        <v>265</v>
      </c>
      <c r="B97" s="195"/>
      <c r="C97" s="138"/>
      <c r="D97" s="601"/>
      <c r="E97" s="601"/>
    </row>
    <row r="98" spans="1:5" ht="20.399999999999999" x14ac:dyDescent="0.35">
      <c r="A98" s="194" t="s">
        <v>265</v>
      </c>
      <c r="B98" s="195"/>
      <c r="C98" s="138"/>
      <c r="D98" s="601"/>
      <c r="E98" s="601"/>
    </row>
    <row r="99" spans="1:5" ht="20.399999999999999" x14ac:dyDescent="0.35">
      <c r="A99" s="194" t="s">
        <v>265</v>
      </c>
      <c r="B99" s="195"/>
      <c r="C99" s="138"/>
      <c r="D99" s="601"/>
      <c r="E99" s="601"/>
    </row>
    <row r="100" spans="1:5" ht="20.399999999999999" x14ac:dyDescent="0.35">
      <c r="A100" s="194" t="s">
        <v>265</v>
      </c>
      <c r="B100" s="195"/>
      <c r="C100" s="138"/>
      <c r="D100" s="601"/>
      <c r="E100" s="601"/>
    </row>
    <row r="101" spans="1:5" ht="20.399999999999999" x14ac:dyDescent="0.35">
      <c r="A101" s="194" t="s">
        <v>265</v>
      </c>
      <c r="B101" s="195"/>
      <c r="C101" s="138"/>
      <c r="D101" s="601"/>
      <c r="E101" s="601"/>
    </row>
    <row r="102" spans="1:5" ht="20.399999999999999" x14ac:dyDescent="0.35">
      <c r="A102" s="194" t="s">
        <v>265</v>
      </c>
      <c r="B102" s="195"/>
      <c r="C102" s="138"/>
      <c r="D102" s="601"/>
      <c r="E102" s="601"/>
    </row>
    <row r="103" spans="1:5" ht="20.399999999999999" x14ac:dyDescent="0.35">
      <c r="A103" s="194" t="s">
        <v>265</v>
      </c>
      <c r="B103" s="195"/>
      <c r="C103" s="138"/>
      <c r="D103" s="601"/>
      <c r="E103" s="601"/>
    </row>
    <row r="104" spans="1:5" ht="20.399999999999999" x14ac:dyDescent="0.35">
      <c r="A104" s="194" t="s">
        <v>265</v>
      </c>
      <c r="B104" s="195"/>
      <c r="C104" s="138"/>
      <c r="D104" s="601"/>
      <c r="E104" s="601"/>
    </row>
    <row r="105" spans="1:5" ht="20.399999999999999" x14ac:dyDescent="0.35">
      <c r="A105" s="194" t="s">
        <v>265</v>
      </c>
      <c r="B105" s="195"/>
      <c r="C105" s="138"/>
      <c r="D105" s="601"/>
      <c r="E105" s="601"/>
    </row>
    <row r="106" spans="1:5" ht="20.399999999999999" x14ac:dyDescent="0.35">
      <c r="A106" s="194" t="s">
        <v>265</v>
      </c>
      <c r="B106" s="195"/>
      <c r="C106" s="138"/>
      <c r="D106" s="601"/>
      <c r="E106" s="601"/>
    </row>
    <row r="107" spans="1:5" ht="20.399999999999999" x14ac:dyDescent="0.35">
      <c r="A107" s="194" t="s">
        <v>265</v>
      </c>
      <c r="B107" s="195"/>
      <c r="C107" s="138"/>
      <c r="D107" s="601"/>
      <c r="E107" s="601"/>
    </row>
    <row r="108" spans="1:5" ht="20.399999999999999" x14ac:dyDescent="0.35">
      <c r="A108" s="194" t="s">
        <v>265</v>
      </c>
      <c r="B108" s="195"/>
      <c r="C108" s="138"/>
      <c r="D108" s="601"/>
      <c r="E108" s="601"/>
    </row>
    <row r="109" spans="1:5" ht="20.399999999999999" x14ac:dyDescent="0.35">
      <c r="A109" s="194" t="s">
        <v>265</v>
      </c>
      <c r="B109" s="195"/>
      <c r="C109" s="138"/>
      <c r="D109" s="601"/>
      <c r="E109" s="601"/>
    </row>
    <row r="110" spans="1:5" ht="20.399999999999999" x14ac:dyDescent="0.35">
      <c r="A110" s="194" t="s">
        <v>265</v>
      </c>
      <c r="B110" s="195"/>
      <c r="C110" s="138"/>
      <c r="D110" s="601"/>
      <c r="E110" s="601"/>
    </row>
    <row r="111" spans="1:5" ht="20.399999999999999" x14ac:dyDescent="0.35">
      <c r="A111" s="194" t="s">
        <v>265</v>
      </c>
      <c r="B111" s="195"/>
      <c r="C111" s="138"/>
      <c r="D111" s="601"/>
      <c r="E111" s="601"/>
    </row>
    <row r="112" spans="1:5" ht="20.399999999999999" x14ac:dyDescent="0.35">
      <c r="A112" s="194" t="s">
        <v>265</v>
      </c>
      <c r="B112" s="195"/>
      <c r="C112" s="138"/>
      <c r="D112" s="601"/>
      <c r="E112" s="601"/>
    </row>
    <row r="113" spans="1:5" ht="20.399999999999999" x14ac:dyDescent="0.35">
      <c r="A113" s="194" t="s">
        <v>265</v>
      </c>
      <c r="B113" s="195"/>
      <c r="C113" s="138"/>
      <c r="D113" s="601"/>
      <c r="E113" s="601"/>
    </row>
    <row r="114" spans="1:5" ht="20.399999999999999" x14ac:dyDescent="0.35">
      <c r="A114" s="194" t="s">
        <v>265</v>
      </c>
      <c r="B114" s="195"/>
      <c r="C114" s="138"/>
      <c r="D114" s="601"/>
      <c r="E114" s="601"/>
    </row>
    <row r="115" spans="1:5" ht="20.399999999999999" x14ac:dyDescent="0.35">
      <c r="A115" s="194" t="s">
        <v>265</v>
      </c>
      <c r="B115" s="195"/>
      <c r="C115" s="138"/>
      <c r="D115" s="601"/>
      <c r="E115" s="601"/>
    </row>
    <row r="116" spans="1:5" ht="20.399999999999999" x14ac:dyDescent="0.35">
      <c r="A116" s="194" t="s">
        <v>265</v>
      </c>
      <c r="B116" s="195"/>
      <c r="C116" s="138"/>
      <c r="D116" s="601"/>
      <c r="E116" s="601"/>
    </row>
    <row r="117" spans="1:5" ht="20.399999999999999" x14ac:dyDescent="0.35">
      <c r="A117" s="491" t="s">
        <v>275</v>
      </c>
      <c r="B117" s="195"/>
      <c r="C117" s="138"/>
      <c r="D117" s="602"/>
      <c r="E117" s="601"/>
    </row>
    <row r="118" spans="1:5" ht="20.399999999999999" x14ac:dyDescent="0.35">
      <c r="A118" s="194" t="s">
        <v>265</v>
      </c>
      <c r="B118" s="195"/>
      <c r="C118" s="138"/>
      <c r="D118" s="602"/>
      <c r="E118" s="601"/>
    </row>
    <row r="119" spans="1:5" ht="20.399999999999999" x14ac:dyDescent="0.35">
      <c r="A119" s="194" t="s">
        <v>265</v>
      </c>
      <c r="B119" s="195"/>
      <c r="C119" s="138"/>
      <c r="D119" s="602"/>
      <c r="E119" s="601"/>
    </row>
    <row r="120" spans="1:5" ht="20.399999999999999" x14ac:dyDescent="0.35">
      <c r="A120" s="194" t="s">
        <v>265</v>
      </c>
      <c r="B120" s="195"/>
      <c r="C120" s="138"/>
      <c r="D120" s="602"/>
      <c r="E120" s="601"/>
    </row>
    <row r="121" spans="1:5" ht="20.399999999999999" x14ac:dyDescent="0.35">
      <c r="A121" s="194" t="s">
        <v>265</v>
      </c>
      <c r="B121" s="195"/>
      <c r="C121" s="138"/>
      <c r="D121" s="602"/>
      <c r="E121" s="601"/>
    </row>
    <row r="122" spans="1:5" ht="20.399999999999999" x14ac:dyDescent="0.35">
      <c r="A122" s="194" t="s">
        <v>265</v>
      </c>
      <c r="B122" s="195"/>
      <c r="C122" s="138"/>
      <c r="D122" s="602"/>
      <c r="E122" s="601"/>
    </row>
    <row r="123" spans="1:5" ht="20.399999999999999" x14ac:dyDescent="0.35">
      <c r="A123" s="194" t="s">
        <v>265</v>
      </c>
      <c r="B123" s="195"/>
      <c r="C123" s="138"/>
      <c r="D123" s="602"/>
      <c r="E123" s="601"/>
    </row>
    <row r="124" spans="1:5" ht="20.399999999999999" x14ac:dyDescent="0.35">
      <c r="A124" s="194" t="s">
        <v>265</v>
      </c>
      <c r="B124" s="195"/>
      <c r="C124" s="138"/>
      <c r="D124" s="602"/>
      <c r="E124" s="601"/>
    </row>
    <row r="125" spans="1:5" ht="20.399999999999999" x14ac:dyDescent="0.35">
      <c r="A125" s="194" t="s">
        <v>265</v>
      </c>
      <c r="B125" s="195"/>
      <c r="C125" s="138"/>
      <c r="D125" s="602"/>
      <c r="E125" s="601"/>
    </row>
    <row r="126" spans="1:5" ht="20.399999999999999" x14ac:dyDescent="0.35">
      <c r="A126" s="194" t="s">
        <v>265</v>
      </c>
      <c r="B126" s="195"/>
      <c r="C126" s="138"/>
      <c r="D126" s="602"/>
      <c r="E126" s="601"/>
    </row>
    <row r="127" spans="1:5" ht="20.399999999999999" x14ac:dyDescent="0.35">
      <c r="A127" s="194" t="s">
        <v>265</v>
      </c>
      <c r="B127" s="195" t="s">
        <v>297</v>
      </c>
      <c r="C127" s="138"/>
      <c r="D127" s="602"/>
      <c r="E127" s="601"/>
    </row>
    <row r="128" spans="1:5" x14ac:dyDescent="0.3">
      <c r="A128" t="s">
        <v>265</v>
      </c>
      <c r="B128" t="s">
        <v>297</v>
      </c>
      <c r="D128" s="601"/>
      <c r="E128" s="601">
        <v>0</v>
      </c>
    </row>
    <row r="129" spans="1:5" ht="15.6" x14ac:dyDescent="0.3">
      <c r="A129" s="203" t="s">
        <v>41</v>
      </c>
      <c r="B129" s="184"/>
      <c r="C129" s="136"/>
      <c r="D129" s="600">
        <f>SUM(D74:D128)</f>
        <v>0</v>
      </c>
      <c r="E129" s="600">
        <f>SUM(E77:E128)</f>
        <v>0</v>
      </c>
    </row>
    <row r="130" spans="1:5" ht="15.6" x14ac:dyDescent="0.3">
      <c r="A130" s="139"/>
      <c r="B130" s="139"/>
      <c r="C130" s="140"/>
      <c r="D130" s="140"/>
      <c r="E130" s="141"/>
    </row>
    <row r="131" spans="1:5" ht="15.6" x14ac:dyDescent="0.3">
      <c r="A131" s="139"/>
      <c r="B131" s="139"/>
      <c r="C131" s="140"/>
      <c r="D131" s="140"/>
      <c r="E131" s="141"/>
    </row>
    <row r="132" spans="1:5" ht="15.6" x14ac:dyDescent="0.3">
      <c r="A132" s="481" t="s">
        <v>206</v>
      </c>
      <c r="B132" s="481"/>
      <c r="C132" s="481"/>
      <c r="D132" s="481"/>
      <c r="E132" s="481"/>
    </row>
    <row r="133" spans="1:5" ht="15.6" x14ac:dyDescent="0.3">
      <c r="A133" s="207" t="s">
        <v>53</v>
      </c>
      <c r="B133" s="208"/>
      <c r="C133" s="208"/>
      <c r="D133" s="209" t="str">
        <f>D73</f>
        <v>As at 31.03.2025</v>
      </c>
      <c r="E133" s="209" t="str">
        <f>E73</f>
        <v>As at 31.03.2024</v>
      </c>
    </row>
    <row r="134" spans="1:5" ht="15.6" x14ac:dyDescent="0.3">
      <c r="A134" s="194"/>
      <c r="B134" s="195"/>
      <c r="C134" s="9"/>
      <c r="D134" s="201">
        <v>0</v>
      </c>
      <c r="E134" s="201">
        <v>0</v>
      </c>
    </row>
    <row r="135" spans="1:5" ht="18" customHeight="1" x14ac:dyDescent="0.35">
      <c r="A135" s="194" t="s">
        <v>228</v>
      </c>
      <c r="B135" s="195"/>
      <c r="C135" s="8"/>
      <c r="D135" s="201"/>
      <c r="E135" s="201"/>
    </row>
    <row r="136" spans="1:5" ht="15.6" x14ac:dyDescent="0.3">
      <c r="A136" s="478" t="s">
        <v>41</v>
      </c>
      <c r="B136" s="479"/>
      <c r="C136" s="479"/>
      <c r="D136" s="206">
        <f>SUM(D134:D135)</f>
        <v>0</v>
      </c>
      <c r="E136" s="206">
        <f>SUM(E135:E135)</f>
        <v>0</v>
      </c>
    </row>
    <row r="137" spans="1:5" ht="15.6" x14ac:dyDescent="0.3">
      <c r="A137" s="139"/>
      <c r="B137" s="139"/>
      <c r="C137" s="140"/>
      <c r="D137" s="140"/>
      <c r="E137" s="141"/>
    </row>
    <row r="138" spans="1:5" ht="15.6" x14ac:dyDescent="0.3">
      <c r="A138" s="139"/>
      <c r="B138" s="139"/>
      <c r="C138" s="140"/>
      <c r="D138" s="140"/>
      <c r="E138" s="141"/>
    </row>
    <row r="139" spans="1:5" ht="17.25" customHeight="1" x14ac:dyDescent="0.3">
      <c r="A139" s="139"/>
      <c r="B139" s="139"/>
      <c r="C139" s="140"/>
      <c r="D139" s="140"/>
      <c r="E139" s="141"/>
    </row>
    <row r="140" spans="1:5" ht="15.6" x14ac:dyDescent="0.3">
      <c r="A140" s="139"/>
      <c r="B140" s="139"/>
      <c r="C140" s="140"/>
      <c r="D140" s="140"/>
      <c r="E140" s="141"/>
    </row>
    <row r="141" spans="1:5" x14ac:dyDescent="0.3">
      <c r="A141" s="134"/>
      <c r="B141" s="134"/>
      <c r="C141" s="134"/>
      <c r="D141" s="134"/>
      <c r="E141" s="134"/>
    </row>
  </sheetData>
  <sortState xmlns:xlrd2="http://schemas.microsoft.com/office/spreadsheetml/2017/richdata2" ref="A83:E134">
    <sortCondition ref="E134"/>
  </sortState>
  <mergeCells count="5">
    <mergeCell ref="A1:E1"/>
    <mergeCell ref="A2:E2"/>
    <mergeCell ref="A21:E21"/>
    <mergeCell ref="A72:E72"/>
    <mergeCell ref="A5:B5"/>
  </mergeCells>
  <pageMargins left="0.70866141732283472" right="0.70866141732283472" top="0.74803149606299213" bottom="0.74803149606299213"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27"/>
  <sheetViews>
    <sheetView tabSelected="1" topLeftCell="A2" zoomScale="55" zoomScaleNormal="55" zoomScaleSheetLayoutView="55" workbookViewId="0">
      <selection activeCell="S15" sqref="S15"/>
    </sheetView>
  </sheetViews>
  <sheetFormatPr defaultRowHeight="14.4" x14ac:dyDescent="0.3"/>
  <cols>
    <col min="1" max="1" width="52.5546875" customWidth="1"/>
    <col min="2" max="2" width="33" customWidth="1"/>
    <col min="3" max="3" width="36.33203125" customWidth="1"/>
    <col min="4" max="4" width="52.44140625" customWidth="1"/>
    <col min="5" max="5" width="30.44140625" customWidth="1"/>
    <col min="6" max="6" width="35.6640625" customWidth="1"/>
  </cols>
  <sheetData>
    <row r="1" spans="1:6" ht="23.25" hidden="1" customHeight="1" x14ac:dyDescent="0.4">
      <c r="A1" s="611" t="str">
        <f>bs!A1</f>
        <v xml:space="preserve"> M/S XYZ CO.</v>
      </c>
      <c r="B1" s="611"/>
      <c r="C1" s="611"/>
      <c r="D1" s="611"/>
      <c r="E1" s="611"/>
      <c r="F1" s="611"/>
    </row>
    <row r="2" spans="1:6" ht="23.25" customHeight="1" x14ac:dyDescent="0.4">
      <c r="A2" s="611" t="str">
        <f>bs!A1</f>
        <v xml:space="preserve"> M/S XYZ CO.</v>
      </c>
      <c r="B2" s="611"/>
      <c r="C2" s="611"/>
      <c r="D2" s="611"/>
      <c r="E2" s="611"/>
      <c r="F2" s="611"/>
    </row>
    <row r="3" spans="1:6" ht="23.25" customHeight="1" x14ac:dyDescent="0.4">
      <c r="A3" s="96"/>
      <c r="B3" s="96"/>
      <c r="C3" s="96"/>
      <c r="D3" s="96"/>
      <c r="E3" s="96"/>
      <c r="F3" s="96"/>
    </row>
    <row r="4" spans="1:6" ht="22.8" x14ac:dyDescent="0.4">
      <c r="A4" s="611" t="s">
        <v>254</v>
      </c>
      <c r="B4" s="611"/>
      <c r="C4" s="611"/>
      <c r="D4" s="611"/>
      <c r="E4" s="611"/>
      <c r="F4" s="611"/>
    </row>
    <row r="5" spans="1:6" ht="23.4" thickBot="1" x14ac:dyDescent="0.45">
      <c r="A5" s="320"/>
      <c r="B5" s="320"/>
      <c r="C5" s="320"/>
      <c r="D5" s="320"/>
      <c r="E5" s="320"/>
      <c r="F5" s="320"/>
    </row>
    <row r="6" spans="1:6" ht="22.8" x14ac:dyDescent="0.4">
      <c r="A6" s="321" t="s">
        <v>53</v>
      </c>
      <c r="B6" s="321" t="s">
        <v>195</v>
      </c>
      <c r="C6" s="322" t="s">
        <v>196</v>
      </c>
      <c r="D6" s="321" t="s">
        <v>53</v>
      </c>
      <c r="E6" s="321" t="s">
        <v>195</v>
      </c>
      <c r="F6" s="322" t="s">
        <v>196</v>
      </c>
    </row>
    <row r="7" spans="1:6" ht="23.4" thickBot="1" x14ac:dyDescent="0.45">
      <c r="A7" s="323"/>
      <c r="B7" s="324" t="s">
        <v>253</v>
      </c>
      <c r="C7" s="324" t="s">
        <v>237</v>
      </c>
      <c r="D7" s="323"/>
      <c r="E7" s="324" t="s">
        <v>253</v>
      </c>
      <c r="F7" s="324" t="s">
        <v>237</v>
      </c>
    </row>
    <row r="8" spans="1:6" ht="23.4" thickBot="1" x14ac:dyDescent="0.45">
      <c r="A8" s="325"/>
      <c r="B8" s="327" t="s">
        <v>197</v>
      </c>
      <c r="C8" s="327" t="s">
        <v>197</v>
      </c>
      <c r="D8" s="323"/>
      <c r="E8" s="327" t="s">
        <v>197</v>
      </c>
      <c r="F8" s="327" t="s">
        <v>197</v>
      </c>
    </row>
    <row r="9" spans="1:6" ht="22.8" x14ac:dyDescent="0.4">
      <c r="A9" s="328" t="s">
        <v>191</v>
      </c>
      <c r="B9" s="332">
        <f>'notes to p&amp;l'!D18</f>
        <v>0</v>
      </c>
      <c r="C9" s="332">
        <f>'notes to p&amp;l'!E18</f>
        <v>0</v>
      </c>
      <c r="D9" s="580" t="s">
        <v>198</v>
      </c>
      <c r="E9" s="580"/>
      <c r="F9" s="580"/>
    </row>
    <row r="10" spans="1:6" ht="22.8" x14ac:dyDescent="0.4">
      <c r="A10" s="319"/>
      <c r="B10" s="333"/>
      <c r="C10" s="332"/>
      <c r="D10" s="333" t="s">
        <v>271</v>
      </c>
      <c r="E10" s="332">
        <f>'notes to p&amp;l'!D6</f>
        <v>0</v>
      </c>
      <c r="F10" s="332">
        <f>'notes to p&amp;l'!E6</f>
        <v>0</v>
      </c>
    </row>
    <row r="11" spans="1:6" ht="22.8" x14ac:dyDescent="0.4">
      <c r="A11" s="319"/>
      <c r="B11" s="333"/>
      <c r="C11" s="332"/>
      <c r="D11" s="333"/>
      <c r="E11" s="333"/>
      <c r="F11" s="332"/>
    </row>
    <row r="12" spans="1:6" ht="22.8" x14ac:dyDescent="0.4">
      <c r="A12" s="318" t="s">
        <v>192</v>
      </c>
      <c r="B12" s="334"/>
      <c r="C12" s="335"/>
      <c r="D12" s="333"/>
      <c r="E12" s="333"/>
      <c r="F12" s="332"/>
    </row>
    <row r="13" spans="1:6" ht="22.8" x14ac:dyDescent="0.4">
      <c r="A13" s="319" t="s">
        <v>270</v>
      </c>
      <c r="B13" s="332">
        <f>'notes to p&amp;l'!D21</f>
        <v>0</v>
      </c>
      <c r="C13" s="332">
        <f>'notes to p&amp;l'!E21</f>
        <v>0</v>
      </c>
      <c r="D13" s="334" t="s">
        <v>199</v>
      </c>
      <c r="E13" s="332"/>
      <c r="F13" s="332">
        <f>'notes to p&amp;l'!E27</f>
        <v>0</v>
      </c>
    </row>
    <row r="14" spans="1:6" ht="22.8" x14ac:dyDescent="0.4">
      <c r="A14" s="319"/>
      <c r="B14" s="332"/>
      <c r="C14" s="332"/>
      <c r="D14" s="333" t="s">
        <v>200</v>
      </c>
      <c r="E14" s="333"/>
      <c r="F14" s="332"/>
    </row>
    <row r="15" spans="1:6" ht="22.8" x14ac:dyDescent="0.4">
      <c r="A15" s="319"/>
      <c r="B15" s="333"/>
      <c r="C15" s="332"/>
      <c r="D15" s="333"/>
      <c r="E15" s="333"/>
      <c r="F15" s="332"/>
    </row>
    <row r="16" spans="1:6" ht="22.8" x14ac:dyDescent="0.4">
      <c r="A16" s="329" t="s">
        <v>193</v>
      </c>
      <c r="B16" s="336"/>
      <c r="C16" s="332"/>
      <c r="D16" s="333"/>
      <c r="E16" s="333"/>
      <c r="F16" s="332"/>
    </row>
    <row r="17" spans="1:6" ht="22.8" x14ac:dyDescent="0.4">
      <c r="A17" s="329"/>
      <c r="B17" s="336"/>
      <c r="C17" s="332"/>
      <c r="D17" s="333"/>
      <c r="E17" s="333"/>
      <c r="F17" s="332"/>
    </row>
    <row r="18" spans="1:6" ht="22.8" x14ac:dyDescent="0.4">
      <c r="A18" s="329"/>
      <c r="B18" s="336"/>
      <c r="C18" s="332"/>
      <c r="D18" s="333"/>
      <c r="E18" s="333"/>
      <c r="F18" s="332"/>
    </row>
    <row r="19" spans="1:6" ht="22.8" x14ac:dyDescent="0.4">
      <c r="A19" s="329"/>
      <c r="B19" s="336"/>
      <c r="C19" s="332"/>
      <c r="D19" s="333"/>
      <c r="E19" s="333"/>
      <c r="F19" s="332"/>
    </row>
    <row r="20" spans="1:6" ht="22.8" x14ac:dyDescent="0.4">
      <c r="A20" s="329"/>
      <c r="B20" s="336"/>
      <c r="C20" s="332"/>
      <c r="D20" s="333"/>
      <c r="E20" s="333"/>
      <c r="F20" s="332"/>
    </row>
    <row r="21" spans="1:6" ht="22.8" x14ac:dyDescent="0.4">
      <c r="A21" s="330" t="s">
        <v>299</v>
      </c>
      <c r="B21" s="332">
        <f>'notes to p&amp;l'!D24</f>
        <v>0</v>
      </c>
      <c r="C21" s="332"/>
      <c r="D21" s="333"/>
      <c r="E21" s="333"/>
      <c r="F21" s="332"/>
    </row>
    <row r="22" spans="1:6" ht="22.8" x14ac:dyDescent="0.4">
      <c r="A22" s="330" t="s">
        <v>319</v>
      </c>
      <c r="B22" s="332"/>
      <c r="C22" s="332">
        <v>0</v>
      </c>
      <c r="D22" s="333"/>
      <c r="E22" s="333"/>
      <c r="F22" s="332"/>
    </row>
    <row r="23" spans="1:6" ht="22.8" x14ac:dyDescent="0.4">
      <c r="A23" s="330" t="s">
        <v>320</v>
      </c>
      <c r="B23" s="332"/>
      <c r="C23" s="332">
        <v>0</v>
      </c>
      <c r="D23" s="333"/>
      <c r="E23" s="333"/>
      <c r="F23" s="332"/>
    </row>
    <row r="24" spans="1:6" ht="22.8" x14ac:dyDescent="0.4">
      <c r="A24" s="319"/>
      <c r="B24" s="333"/>
      <c r="C24" s="332"/>
      <c r="D24" s="333"/>
      <c r="E24" s="333"/>
      <c r="F24" s="332"/>
    </row>
    <row r="25" spans="1:6" ht="22.8" x14ac:dyDescent="0.4">
      <c r="A25" s="329" t="s">
        <v>194</v>
      </c>
      <c r="B25" s="332">
        <f>E27-SUM(B9:B23)</f>
        <v>0</v>
      </c>
      <c r="C25" s="332">
        <f>F27-SUM(C9:C21)</f>
        <v>0</v>
      </c>
      <c r="D25" s="581"/>
      <c r="E25" s="581"/>
      <c r="F25" s="582"/>
    </row>
    <row r="26" spans="1:6" ht="23.4" thickBot="1" x14ac:dyDescent="0.45">
      <c r="A26" s="331"/>
      <c r="B26" s="333"/>
      <c r="C26" s="332"/>
      <c r="D26" s="583"/>
      <c r="E26" s="581"/>
      <c r="F26" s="582"/>
    </row>
    <row r="27" spans="1:6" ht="23.4" thickBot="1" x14ac:dyDescent="0.45">
      <c r="A27" s="326" t="s">
        <v>41</v>
      </c>
      <c r="B27" s="337">
        <f>SUM(B9:B26)</f>
        <v>0</v>
      </c>
      <c r="C27" s="338">
        <f>SUM(C9:C26)</f>
        <v>0</v>
      </c>
      <c r="D27" s="584" t="s">
        <v>41</v>
      </c>
      <c r="E27" s="339">
        <f>SUM(E9:E26)</f>
        <v>0</v>
      </c>
      <c r="F27" s="339">
        <f>SUM(F9:F26)</f>
        <v>0</v>
      </c>
    </row>
  </sheetData>
  <sortState xmlns:xlrd2="http://schemas.microsoft.com/office/spreadsheetml/2017/richdata2" ref="A25:C27">
    <sortCondition ref="A24"/>
  </sortState>
  <mergeCells count="3">
    <mergeCell ref="A1:F1"/>
    <mergeCell ref="A4:F4"/>
    <mergeCell ref="A2:F2"/>
  </mergeCells>
  <pageMargins left="0.7" right="0.7" top="0.75" bottom="0.75" header="0.3" footer="0.3"/>
  <pageSetup scale="5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3"/>
  <sheetViews>
    <sheetView view="pageBreakPreview" topLeftCell="A13" zoomScaleNormal="91" zoomScaleSheetLayoutView="100" workbookViewId="0">
      <selection activeCell="F19" sqref="F19"/>
    </sheetView>
  </sheetViews>
  <sheetFormatPr defaultColWidth="23.44140625" defaultRowHeight="15.6" x14ac:dyDescent="0.3"/>
  <cols>
    <col min="1" max="1" width="2.44140625" style="4" customWidth="1"/>
    <col min="2" max="2" width="30.33203125" style="4" customWidth="1"/>
    <col min="3" max="3" width="16.5546875" style="4" customWidth="1"/>
    <col min="4" max="4" width="17" style="4" customWidth="1"/>
    <col min="5" max="5" width="17.44140625" style="4" customWidth="1"/>
    <col min="6" max="6" width="15.6640625" style="4" customWidth="1"/>
    <col min="7" max="7" width="15.5546875" style="4" customWidth="1"/>
    <col min="8" max="8" width="9.44140625" style="4" customWidth="1"/>
    <col min="9" max="10" width="18.44140625" style="4" customWidth="1"/>
    <col min="11" max="16384" width="23.44140625" style="4"/>
  </cols>
  <sheetData>
    <row r="1" spans="1:11" x14ac:dyDescent="0.3">
      <c r="A1" s="12"/>
      <c r="B1" s="12"/>
      <c r="C1" s="12"/>
      <c r="D1" s="12"/>
      <c r="E1" s="12"/>
      <c r="F1" s="12"/>
      <c r="G1" s="12"/>
      <c r="H1" s="13"/>
      <c r="I1" s="12"/>
      <c r="J1" s="12"/>
    </row>
    <row r="2" spans="1:11" x14ac:dyDescent="0.3">
      <c r="A2" s="12"/>
      <c r="B2" s="12"/>
      <c r="C2" s="12"/>
      <c r="D2" s="12"/>
      <c r="E2" s="12"/>
      <c r="F2" s="12"/>
      <c r="G2" s="12"/>
      <c r="H2" s="13"/>
      <c r="I2" s="12"/>
      <c r="J2" s="12"/>
    </row>
    <row r="3" spans="1:11" x14ac:dyDescent="0.3">
      <c r="A3" s="12"/>
      <c r="B3" s="644" t="s">
        <v>74</v>
      </c>
      <c r="C3" s="644"/>
      <c r="D3" s="644"/>
      <c r="E3" s="644"/>
      <c r="F3" s="644"/>
      <c r="G3" s="644"/>
      <c r="H3" s="644"/>
      <c r="I3" s="644"/>
      <c r="J3" s="644"/>
    </row>
    <row r="4" spans="1:11" ht="16.2" thickBot="1" x14ac:dyDescent="0.35">
      <c r="A4" s="12"/>
      <c r="B4" s="644" t="s">
        <v>87</v>
      </c>
      <c r="C4" s="644"/>
      <c r="D4" s="644"/>
      <c r="E4" s="644"/>
      <c r="F4" s="644"/>
      <c r="G4" s="644"/>
      <c r="H4" s="644"/>
      <c r="I4" s="644"/>
      <c r="J4" s="644"/>
    </row>
    <row r="5" spans="1:11" x14ac:dyDescent="0.3">
      <c r="A5" s="12"/>
      <c r="B5" s="17" t="s">
        <v>53</v>
      </c>
      <c r="C5" s="18" t="s">
        <v>88</v>
      </c>
      <c r="D5" s="19" t="s">
        <v>89</v>
      </c>
      <c r="E5" s="19" t="s">
        <v>89</v>
      </c>
      <c r="F5" s="19"/>
      <c r="G5" s="20"/>
      <c r="H5" s="21" t="s">
        <v>90</v>
      </c>
      <c r="I5" s="22"/>
      <c r="J5" s="19" t="s">
        <v>91</v>
      </c>
    </row>
    <row r="6" spans="1:11" x14ac:dyDescent="0.3">
      <c r="A6" s="12"/>
      <c r="B6" s="23"/>
      <c r="C6" s="91" t="s">
        <v>92</v>
      </c>
      <c r="D6" s="24" t="s">
        <v>93</v>
      </c>
      <c r="E6" s="24" t="s">
        <v>94</v>
      </c>
      <c r="F6" s="24" t="s">
        <v>95</v>
      </c>
      <c r="G6" s="31" t="s">
        <v>41</v>
      </c>
      <c r="H6" s="25"/>
      <c r="I6" s="26" t="s">
        <v>96</v>
      </c>
      <c r="J6" s="62" t="s">
        <v>92</v>
      </c>
    </row>
    <row r="7" spans="1:11" x14ac:dyDescent="0.3">
      <c r="A7" s="12"/>
      <c r="B7" s="23"/>
      <c r="C7" s="31" t="s">
        <v>97</v>
      </c>
      <c r="D7" s="24" t="s">
        <v>98</v>
      </c>
      <c r="E7" s="24" t="s">
        <v>98</v>
      </c>
      <c r="F7" s="24"/>
      <c r="G7" s="68"/>
      <c r="H7" s="63"/>
      <c r="I7" s="63"/>
      <c r="J7" s="63" t="s">
        <v>73</v>
      </c>
    </row>
    <row r="8" spans="1:11" ht="16.2" thickBot="1" x14ac:dyDescent="0.35">
      <c r="A8" s="12"/>
      <c r="B8" s="27"/>
      <c r="C8" s="28" t="str">
        <f>[1]ANNEX.!G155</f>
        <v>Amount in Rs.</v>
      </c>
      <c r="D8" s="29" t="str">
        <f>C8</f>
        <v>Amount in Rs.</v>
      </c>
      <c r="E8" s="29" t="str">
        <f>D8</f>
        <v>Amount in Rs.</v>
      </c>
      <c r="F8" s="29" t="str">
        <f>E8</f>
        <v>Amount in Rs.</v>
      </c>
      <c r="G8" s="64" t="str">
        <f>F8</f>
        <v>Amount in Rs.</v>
      </c>
      <c r="H8" s="65" t="s">
        <v>99</v>
      </c>
      <c r="I8" s="65" t="str">
        <f>G8</f>
        <v>Amount in Rs.</v>
      </c>
      <c r="J8" s="65" t="str">
        <f>I8</f>
        <v>Amount in Rs.</v>
      </c>
    </row>
    <row r="9" spans="1:11" x14ac:dyDescent="0.3">
      <c r="A9" s="12"/>
      <c r="B9" s="32"/>
      <c r="C9" s="30"/>
      <c r="D9" s="30"/>
      <c r="E9" s="30"/>
      <c r="F9" s="30"/>
      <c r="G9" s="66"/>
      <c r="H9" s="67"/>
      <c r="I9" s="66"/>
      <c r="J9" s="66"/>
    </row>
    <row r="10" spans="1:11" x14ac:dyDescent="0.3">
      <c r="A10" s="12"/>
      <c r="B10" s="52" t="s">
        <v>179</v>
      </c>
      <c r="C10" s="30"/>
      <c r="D10" s="30"/>
      <c r="E10" s="30"/>
      <c r="F10" s="30"/>
      <c r="G10" s="66"/>
      <c r="H10" s="67"/>
      <c r="I10" s="66"/>
      <c r="J10" s="66"/>
    </row>
    <row r="11" spans="1:11" x14ac:dyDescent="0.3">
      <c r="A11" s="12"/>
      <c r="B11" s="32" t="s">
        <v>179</v>
      </c>
      <c r="C11" s="30"/>
      <c r="D11" s="30">
        <v>2168060</v>
      </c>
      <c r="E11" s="30"/>
      <c r="F11" s="30"/>
      <c r="G11" s="66">
        <f>C11+D11+E11-F11</f>
        <v>2168060</v>
      </c>
      <c r="H11" s="67"/>
      <c r="I11" s="66">
        <f>(C11+D11)*H11/100+(E11*H11)/200</f>
        <v>0</v>
      </c>
      <c r="J11" s="66">
        <f>G11-I11</f>
        <v>2168060</v>
      </c>
    </row>
    <row r="12" spans="1:11" x14ac:dyDescent="0.3">
      <c r="A12" s="12"/>
      <c r="B12" s="52" t="s">
        <v>106</v>
      </c>
      <c r="C12" s="30"/>
      <c r="D12" s="30"/>
      <c r="E12" s="30"/>
      <c r="F12" s="30"/>
      <c r="G12" s="66"/>
      <c r="H12" s="67"/>
      <c r="I12" s="66"/>
      <c r="J12" s="66"/>
    </row>
    <row r="13" spans="1:11" x14ac:dyDescent="0.3">
      <c r="A13" s="12"/>
      <c r="B13" s="60" t="s">
        <v>104</v>
      </c>
      <c r="C13" s="30">
        <v>8786.07</v>
      </c>
      <c r="D13" s="61"/>
      <c r="E13" s="30"/>
      <c r="F13" s="30"/>
      <c r="G13" s="66">
        <f>C13+D13+E13-F13</f>
        <v>8786.07</v>
      </c>
      <c r="H13" s="67">
        <v>10</v>
      </c>
      <c r="I13" s="66">
        <f t="shared" ref="I13:I29" si="0">(C13+D13)*H13/100+(E13*H13)/200</f>
        <v>878.60699999999997</v>
      </c>
      <c r="J13" s="66">
        <f>G13-I13</f>
        <v>7907.4629999999997</v>
      </c>
    </row>
    <row r="14" spans="1:11" x14ac:dyDescent="0.3">
      <c r="A14" s="12"/>
      <c r="B14" s="32" t="s">
        <v>103</v>
      </c>
      <c r="C14" s="30">
        <v>8960.4500000000007</v>
      </c>
      <c r="D14" s="30"/>
      <c r="E14" s="30"/>
      <c r="F14" s="30"/>
      <c r="G14" s="66">
        <f t="shared" ref="G14:G26" si="1">C14+D14+E14-F14</f>
        <v>8960.4500000000007</v>
      </c>
      <c r="H14" s="67">
        <v>15</v>
      </c>
      <c r="I14" s="66">
        <f t="shared" si="0"/>
        <v>1344.0675000000001</v>
      </c>
      <c r="J14" s="66">
        <f t="shared" ref="J14:J19" si="2">G14-I14</f>
        <v>7616.3825000000006</v>
      </c>
    </row>
    <row r="15" spans="1:11" x14ac:dyDescent="0.3">
      <c r="A15" s="12"/>
      <c r="B15" s="52" t="s">
        <v>107</v>
      </c>
      <c r="C15" s="30"/>
      <c r="D15" s="30"/>
      <c r="E15" s="30"/>
      <c r="F15" s="30"/>
      <c r="G15" s="66"/>
      <c r="H15" s="67"/>
      <c r="I15" s="66"/>
      <c r="J15" s="66"/>
      <c r="K15" s="79"/>
    </row>
    <row r="16" spans="1:11" x14ac:dyDescent="0.3">
      <c r="A16" s="12"/>
      <c r="B16" s="32" t="s">
        <v>100</v>
      </c>
      <c r="C16" s="30">
        <v>14297.55</v>
      </c>
      <c r="D16" s="30"/>
      <c r="E16" s="30"/>
      <c r="F16" s="30"/>
      <c r="G16" s="66">
        <f t="shared" si="1"/>
        <v>14297.55</v>
      </c>
      <c r="H16" s="67">
        <v>15</v>
      </c>
      <c r="I16" s="66">
        <f t="shared" si="0"/>
        <v>2144.6325000000002</v>
      </c>
      <c r="J16" s="66">
        <f t="shared" si="2"/>
        <v>12152.9175</v>
      </c>
    </row>
    <row r="17" spans="1:10" x14ac:dyDescent="0.3">
      <c r="A17" s="12"/>
      <c r="B17" s="32" t="s">
        <v>180</v>
      </c>
      <c r="C17" s="30">
        <v>20205.439999999999</v>
      </c>
      <c r="D17" s="30">
        <v>47656.25</v>
      </c>
      <c r="E17" s="30"/>
      <c r="F17" s="30"/>
      <c r="G17" s="66">
        <f t="shared" si="1"/>
        <v>67861.69</v>
      </c>
      <c r="H17" s="67">
        <v>15</v>
      </c>
      <c r="I17" s="66">
        <f t="shared" si="0"/>
        <v>10179.253500000001</v>
      </c>
      <c r="J17" s="66">
        <f t="shared" si="2"/>
        <v>57682.436500000003</v>
      </c>
    </row>
    <row r="18" spans="1:10" x14ac:dyDescent="0.3">
      <c r="A18" s="12"/>
      <c r="B18" s="32" t="s">
        <v>181</v>
      </c>
      <c r="C18" s="30">
        <v>16617.5</v>
      </c>
      <c r="D18" s="30"/>
      <c r="E18" s="30"/>
      <c r="F18" s="30"/>
      <c r="G18" s="66">
        <f t="shared" si="1"/>
        <v>16617.5</v>
      </c>
      <c r="H18" s="67">
        <v>15</v>
      </c>
      <c r="I18" s="66">
        <f t="shared" si="0"/>
        <v>2492.625</v>
      </c>
      <c r="J18" s="66">
        <f t="shared" si="2"/>
        <v>14124.875</v>
      </c>
    </row>
    <row r="19" spans="1:10" x14ac:dyDescent="0.3">
      <c r="A19" s="12"/>
      <c r="B19" s="32" t="s">
        <v>182</v>
      </c>
      <c r="C19" s="30">
        <v>13510.75</v>
      </c>
      <c r="D19" s="30"/>
      <c r="E19" s="30"/>
      <c r="F19" s="30"/>
      <c r="G19" s="66">
        <f t="shared" si="1"/>
        <v>13510.75</v>
      </c>
      <c r="H19" s="67">
        <v>15</v>
      </c>
      <c r="I19" s="66">
        <f t="shared" si="0"/>
        <v>2026.6125</v>
      </c>
      <c r="J19" s="66">
        <f t="shared" si="2"/>
        <v>11484.137500000001</v>
      </c>
    </row>
    <row r="20" spans="1:10" x14ac:dyDescent="0.3">
      <c r="A20" s="12"/>
      <c r="B20" s="32" t="s">
        <v>183</v>
      </c>
      <c r="C20" s="30">
        <v>404338.53</v>
      </c>
      <c r="D20" s="30"/>
      <c r="E20" s="30"/>
      <c r="F20" s="30"/>
      <c r="G20" s="66">
        <f t="shared" si="1"/>
        <v>404338.53</v>
      </c>
      <c r="H20" s="67">
        <v>15</v>
      </c>
      <c r="I20" s="66">
        <f t="shared" si="0"/>
        <v>60650.779500000004</v>
      </c>
      <c r="J20" s="66">
        <f>G20-I20</f>
        <v>343687.75050000002</v>
      </c>
    </row>
    <row r="21" spans="1:10" x14ac:dyDescent="0.3">
      <c r="A21" s="12"/>
      <c r="B21" s="32" t="s">
        <v>184</v>
      </c>
      <c r="C21" s="30"/>
      <c r="D21" s="30"/>
      <c r="E21" s="30">
        <v>14830.5</v>
      </c>
      <c r="F21" s="30"/>
      <c r="G21" s="66">
        <f t="shared" si="1"/>
        <v>14830.5</v>
      </c>
      <c r="H21" s="67">
        <v>15</v>
      </c>
      <c r="I21" s="66">
        <f t="shared" si="0"/>
        <v>1112.2874999999999</v>
      </c>
      <c r="J21" s="66">
        <f>G21-I21</f>
        <v>13718.2125</v>
      </c>
    </row>
    <row r="22" spans="1:10" x14ac:dyDescent="0.3">
      <c r="A22" s="12"/>
      <c r="B22" s="32" t="s">
        <v>185</v>
      </c>
      <c r="C22" s="30">
        <v>5663.66</v>
      </c>
      <c r="D22" s="30"/>
      <c r="E22" s="30"/>
      <c r="F22" s="30"/>
      <c r="G22" s="66">
        <f t="shared" si="1"/>
        <v>5663.66</v>
      </c>
      <c r="H22" s="67">
        <v>15</v>
      </c>
      <c r="I22" s="66">
        <f t="shared" si="0"/>
        <v>849.54899999999998</v>
      </c>
      <c r="J22" s="66">
        <f>G22-I22</f>
        <v>4814.1109999999999</v>
      </c>
    </row>
    <row r="23" spans="1:10" x14ac:dyDescent="0.3">
      <c r="A23" s="12"/>
      <c r="B23" s="32" t="s">
        <v>186</v>
      </c>
      <c r="C23" s="30">
        <v>4071.29</v>
      </c>
      <c r="D23" s="30"/>
      <c r="E23" s="30"/>
      <c r="F23" s="30"/>
      <c r="G23" s="66">
        <f t="shared" si="1"/>
        <v>4071.29</v>
      </c>
      <c r="H23" s="67">
        <v>15</v>
      </c>
      <c r="I23" s="66">
        <f t="shared" si="0"/>
        <v>610.69349999999997</v>
      </c>
      <c r="J23" s="66">
        <f>G23-I23</f>
        <v>3460.5965000000001</v>
      </c>
    </row>
    <row r="24" spans="1:10" x14ac:dyDescent="0.3">
      <c r="A24" s="12"/>
      <c r="B24" s="32" t="s">
        <v>105</v>
      </c>
      <c r="C24" s="30">
        <v>1790.17</v>
      </c>
      <c r="D24" s="30"/>
      <c r="E24" s="30"/>
      <c r="F24" s="30"/>
      <c r="G24" s="66">
        <f t="shared" si="1"/>
        <v>1790.17</v>
      </c>
      <c r="H24" s="67">
        <v>15</v>
      </c>
      <c r="I24" s="66">
        <f t="shared" si="0"/>
        <v>268.52550000000002</v>
      </c>
      <c r="J24" s="66">
        <f>G24-I24</f>
        <v>1521.6445000000001</v>
      </c>
    </row>
    <row r="25" spans="1:10" x14ac:dyDescent="0.3">
      <c r="A25" s="12"/>
      <c r="B25" s="52" t="s">
        <v>102</v>
      </c>
      <c r="C25" s="30"/>
      <c r="D25" s="30"/>
      <c r="E25" s="30"/>
      <c r="F25" s="30"/>
      <c r="G25" s="66"/>
      <c r="H25" s="67"/>
      <c r="I25" s="66"/>
      <c r="J25" s="66"/>
    </row>
    <row r="26" spans="1:10" x14ac:dyDescent="0.3">
      <c r="A26" s="12"/>
      <c r="B26" s="32" t="s">
        <v>102</v>
      </c>
      <c r="C26" s="30">
        <v>7870.32</v>
      </c>
      <c r="D26" s="30"/>
      <c r="E26" s="30"/>
      <c r="F26" s="30"/>
      <c r="G26" s="66">
        <f t="shared" si="1"/>
        <v>7870.32</v>
      </c>
      <c r="H26" s="67">
        <v>40</v>
      </c>
      <c r="I26" s="66">
        <f t="shared" si="0"/>
        <v>3148.1279999999997</v>
      </c>
      <c r="J26" s="66">
        <f>G26-I26</f>
        <v>4722.192</v>
      </c>
    </row>
    <row r="27" spans="1:10" x14ac:dyDescent="0.3">
      <c r="A27" s="12"/>
      <c r="B27" s="52" t="s">
        <v>108</v>
      </c>
      <c r="C27" s="31"/>
      <c r="D27" s="24"/>
      <c r="E27" s="24"/>
      <c r="F27" s="24"/>
      <c r="G27" s="68"/>
      <c r="H27" s="63"/>
      <c r="I27" s="66"/>
      <c r="J27" s="63"/>
    </row>
    <row r="28" spans="1:10" x14ac:dyDescent="0.3">
      <c r="A28" s="12"/>
      <c r="B28" s="32" t="s">
        <v>101</v>
      </c>
      <c r="C28" s="30">
        <v>454987.87</v>
      </c>
      <c r="D28" s="30"/>
      <c r="E28" s="30"/>
      <c r="F28" s="30"/>
      <c r="G28" s="66">
        <f>C28+D28+E28-F28</f>
        <v>454987.87</v>
      </c>
      <c r="H28" s="67">
        <v>15</v>
      </c>
      <c r="I28" s="66">
        <f t="shared" si="0"/>
        <v>68248.180500000002</v>
      </c>
      <c r="J28" s="66">
        <f>G28-I28</f>
        <v>386739.68949999998</v>
      </c>
    </row>
    <row r="29" spans="1:10" ht="16.2" thickBot="1" x14ac:dyDescent="0.35">
      <c r="A29" s="12"/>
      <c r="B29" s="10"/>
      <c r="C29" s="11"/>
      <c r="D29" s="11"/>
      <c r="E29" s="11"/>
      <c r="F29" s="11"/>
      <c r="G29" s="69"/>
      <c r="H29" s="70"/>
      <c r="I29" s="69">
        <f t="shared" si="0"/>
        <v>0</v>
      </c>
      <c r="J29" s="69"/>
    </row>
    <row r="30" spans="1:10" ht="16.2" thickBot="1" x14ac:dyDescent="0.35">
      <c r="A30" s="12"/>
      <c r="B30" s="95" t="s">
        <v>9</v>
      </c>
      <c r="C30" s="59">
        <v>882929.70900000003</v>
      </c>
      <c r="D30" s="59">
        <f t="shared" ref="D30:J30" si="3">SUM(D10:D29)</f>
        <v>2215716.25</v>
      </c>
      <c r="E30" s="59">
        <f t="shared" si="3"/>
        <v>14830.5</v>
      </c>
      <c r="F30" s="59">
        <f t="shared" si="3"/>
        <v>0</v>
      </c>
      <c r="G30" s="94">
        <f t="shared" si="3"/>
        <v>3191646.35</v>
      </c>
      <c r="H30" s="94">
        <f t="shared" si="3"/>
        <v>215</v>
      </c>
      <c r="I30" s="94">
        <f t="shared" si="3"/>
        <v>153953.94150000002</v>
      </c>
      <c r="J30" s="94">
        <f t="shared" si="3"/>
        <v>3037692.4084999994</v>
      </c>
    </row>
    <row r="31" spans="1:10" x14ac:dyDescent="0.3">
      <c r="A31" s="12"/>
      <c r="B31" s="12"/>
      <c r="C31" s="12"/>
      <c r="D31" s="12"/>
      <c r="E31" s="12"/>
      <c r="F31" s="12"/>
      <c r="G31" s="12"/>
      <c r="H31" s="14"/>
      <c r="I31" s="15"/>
      <c r="J31" s="16"/>
    </row>
    <row r="33" spans="6:6" x14ac:dyDescent="0.3">
      <c r="F33" s="78"/>
    </row>
  </sheetData>
  <mergeCells count="2">
    <mergeCell ref="B3:J3"/>
    <mergeCell ref="B4:J4"/>
  </mergeCells>
  <pageMargins left="0.7" right="0.7" top="0.75" bottom="0.75" header="0.3" footer="0.3"/>
  <pageSetup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bs</vt:lpstr>
      <vt:lpstr>p&amp;l</vt:lpstr>
      <vt:lpstr>notes to accounts</vt:lpstr>
      <vt:lpstr>capital</vt:lpstr>
      <vt:lpstr>notes to bs</vt:lpstr>
      <vt:lpstr>notes to p&amp;l</vt:lpstr>
      <vt:lpstr>PPE</vt:lpstr>
      <vt:lpstr>Fixed Assets C. Yr.</vt:lpstr>
      <vt:lpstr>Fixed Assets P. Yr.</vt:lpstr>
      <vt:lpstr>Details</vt:lpstr>
      <vt:lpstr>GROSS PROFIT</vt:lpstr>
      <vt:lpstr>FA2022</vt:lpstr>
      <vt:lpstr>bs!Print_Area</vt:lpstr>
      <vt:lpstr>capital!Print_Area</vt:lpstr>
      <vt:lpstr>Details!Print_Area</vt:lpstr>
      <vt:lpstr>'Fixed Assets C. Yr.'!Print_Area</vt:lpstr>
      <vt:lpstr>'Fixed Assets P. Yr.'!Print_Area</vt:lpstr>
      <vt:lpstr>'GROSS PROFIT'!Print_Area</vt:lpstr>
      <vt:lpstr>'notes to accounts'!Print_Area</vt:lpstr>
      <vt:lpstr>'notes to bs'!Print_Area</vt:lpstr>
      <vt:lpstr>'notes to p&amp;l'!Print_Area</vt:lpstr>
      <vt:lpstr>'p&amp;l'!Print_Area</vt:lpstr>
      <vt:lpstr>PPE!Print_Area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Gurpreet</dc:creator>
  <cp:lastModifiedBy>Akshat Gupta</cp:lastModifiedBy>
  <cp:lastPrinted>2025-11-17T06:15:52Z</cp:lastPrinted>
  <dcterms:created xsi:type="dcterms:W3CDTF">2022-06-20T11:42:04Z</dcterms:created>
  <dcterms:modified xsi:type="dcterms:W3CDTF">2026-07-29T10:47:25Z</dcterms:modified>
</cp:coreProperties>
</file>